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현재_통합_문서" defaultThemeVersion="124226"/>
  <xr:revisionPtr revIDLastSave="0" documentId="8_{83AC2DF6-16FC-4CAA-ADDD-0763EF21E75D}" xr6:coauthVersionLast="47" xr6:coauthVersionMax="47" xr10:uidLastSave="{00000000-0000-0000-0000-000000000000}"/>
  <bookViews>
    <workbookView xWindow="20544" yWindow="0" windowWidth="20832" windowHeight="16656" xr2:uid="{00000000-000D-0000-FFFF-FFFF00000000}"/>
  </bookViews>
  <sheets>
    <sheet name="1.판매대행의뢰서" sheetId="2" r:id="rId1"/>
    <sheet name="2.티켓오픈공지문" sheetId="4" r:id="rId2"/>
    <sheet name="3.이미지 사이즈표" sheetId="5" r:id="rId3"/>
    <sheet name="4.등급 및 권종" sheetId="6" r:id="rId4"/>
    <sheet name="5.현장 지원 요청서" sheetId="8" r:id="rId5"/>
  </sheets>
  <definedNames>
    <definedName name="_xlnm.Print_Area" localSheetId="0">'1.판매대행의뢰서'!$A$1:$AE$62</definedName>
    <definedName name="_xlnm.Print_Area" localSheetId="1">'2.티켓오픈공지문'!$A$1:$AB$18</definedName>
    <definedName name="_xlnm.Print_Area" localSheetId="2">'3.이미지 사이즈표'!$A$1:$D$10</definedName>
    <definedName name="_xlnm.Print_Area" localSheetId="4">'5.현장 지원 요청서'!$A$1:$AB$24</definedName>
  </definedNames>
  <calcPr fullCalcOnLoad="1"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 l="1"/>
  <c r="D4" i="4"/>
  <c r="D3" i="4"/>
  <c r="D16" i="4"/>
  <c r="D17" i="4"/>
  <c r="D15" i="4"/>
  <c r="D14" i="4"/>
  <c r="D10" i="4"/>
  <c r="D9" i="4"/>
  <c r="D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NHN</author>
    <author>NHNENT</author>
    <author>nhnent</author>
  </authors>
  <commentList>
    <comment ref="G13" authorId="0" shapeId="0" xr:uid="{8DB55894-E188-4858-8957-EDFF77FE5993}">
      <text>
        <r>
          <rPr>
            <sz val="9"/>
            <color indexed="81"/>
            <rFont val="나눔고딕"/>
            <family val="3"/>
            <charset val="129"/>
          </rPr>
          <t xml:space="preserve">기본 배정되는 기획사 채널 외 추가 배정이 필요한 현장 채널 및 기획사 채널 필요한 경우 사용 체크 부탁드립니다. </t>
        </r>
      </text>
    </comment>
    <comment ref="AA14" authorId="0" shapeId="0" xr:uid="{4891A5FB-B4C8-4F81-8781-A87945C22D3E}">
      <text>
        <r>
          <rPr>
            <b/>
            <sz val="9"/>
            <color indexed="81"/>
            <rFont val="나눔고딕"/>
            <family val="3"/>
            <charset val="129"/>
          </rPr>
          <t>티켓판매가 시작되는 일정</t>
        </r>
        <r>
          <rPr>
            <sz val="9"/>
            <color indexed="81"/>
            <rFont val="나눔고딕"/>
            <family val="3"/>
            <charset val="129"/>
          </rPr>
          <t xml:space="preserve">을 의미합니다. 
</t>
        </r>
        <r>
          <rPr>
            <b/>
            <sz val="9"/>
            <color indexed="81"/>
            <rFont val="나눔고딕"/>
            <family val="3"/>
            <charset val="129"/>
          </rPr>
          <t>날짜, 시간</t>
        </r>
        <r>
          <rPr>
            <sz val="9"/>
            <color indexed="81"/>
            <rFont val="나눔고딕"/>
            <family val="3"/>
            <charset val="129"/>
          </rPr>
          <t xml:space="preserve">까지 기입하여 전달부탁드립니다.
</t>
        </r>
        <r>
          <rPr>
            <b/>
            <sz val="9"/>
            <color indexed="81"/>
            <rFont val="나눔고딕"/>
            <family val="3"/>
            <charset val="129"/>
          </rPr>
          <t>티켓오픈</t>
        </r>
        <r>
          <rPr>
            <sz val="9"/>
            <color indexed="81"/>
            <rFont val="나눔고딕"/>
            <family val="3"/>
            <charset val="129"/>
          </rPr>
          <t>은 영업일로부터</t>
        </r>
        <r>
          <rPr>
            <b/>
            <sz val="9"/>
            <color indexed="81"/>
            <rFont val="나눔고딕"/>
            <family val="3"/>
            <charset val="129"/>
          </rPr>
          <t xml:space="preserve"> 최소 3일이상 소요</t>
        </r>
        <r>
          <rPr>
            <sz val="9"/>
            <color indexed="81"/>
            <rFont val="나눔고딕"/>
            <family val="3"/>
            <charset val="129"/>
          </rPr>
          <t>되오니, 일정 참고하여 요청부탁드립니다.</t>
        </r>
        <r>
          <rPr>
            <sz val="9"/>
            <color indexed="81"/>
            <rFont val="Tahoma"/>
            <family val="2"/>
          </rPr>
          <t xml:space="preserve">
</t>
        </r>
      </text>
    </comment>
    <comment ref="AA15" authorId="0" shapeId="0" xr:uid="{FE63C73B-4306-426A-9994-E8389B495D99}">
      <text>
        <r>
          <rPr>
            <b/>
            <sz val="9"/>
            <color indexed="81"/>
            <rFont val="나눔고딕"/>
            <family val="3"/>
            <charset val="129"/>
          </rPr>
          <t xml:space="preserve">공연 회차별 판매마감시간을 의미합니다.
Ex. 공연 당일 3시간 전
</t>
        </r>
        <r>
          <rPr>
            <sz val="9"/>
            <color indexed="81"/>
            <rFont val="나눔고딕"/>
            <family val="3"/>
            <charset val="129"/>
          </rPr>
          <t>단, 취소마감은  공연 전일 17시로 변경 불가</t>
        </r>
      </text>
    </comment>
    <comment ref="E22" authorId="1" shapeId="0" xr:uid="{00000000-0006-0000-0000-000001000000}">
      <text>
        <r>
          <rPr>
            <b/>
            <sz val="9"/>
            <color indexed="81"/>
            <rFont val="Tahoma"/>
            <family val="2"/>
          </rPr>
          <t>NHNENT:</t>
        </r>
        <r>
          <rPr>
            <sz val="9"/>
            <color indexed="81"/>
            <rFont val="Tahoma"/>
            <family val="2"/>
          </rPr>
          <t xml:space="preserve">
</t>
        </r>
        <r>
          <rPr>
            <sz val="9"/>
            <color indexed="81"/>
            <rFont val="돋움"/>
            <family val="3"/>
            <charset val="129"/>
          </rPr>
          <t>등급</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권종이</t>
        </r>
        <r>
          <rPr>
            <sz val="9"/>
            <color indexed="81"/>
            <rFont val="Tahoma"/>
            <family val="2"/>
          </rPr>
          <t xml:space="preserve"> </t>
        </r>
        <r>
          <rPr>
            <sz val="9"/>
            <color indexed="81"/>
            <rFont val="돋움"/>
            <family val="3"/>
            <charset val="129"/>
          </rPr>
          <t>많이</t>
        </r>
        <r>
          <rPr>
            <sz val="9"/>
            <color indexed="81"/>
            <rFont val="Tahoma"/>
            <family val="2"/>
          </rPr>
          <t xml:space="preserve"> </t>
        </r>
        <r>
          <rPr>
            <sz val="9"/>
            <color indexed="81"/>
            <rFont val="돋움"/>
            <family val="3"/>
            <charset val="129"/>
          </rPr>
          <t>있는경우</t>
        </r>
        <r>
          <rPr>
            <sz val="9"/>
            <color indexed="81"/>
            <rFont val="Tahoma"/>
            <family val="2"/>
          </rPr>
          <t xml:space="preserve"> </t>
        </r>
        <r>
          <rPr>
            <sz val="9"/>
            <color indexed="81"/>
            <rFont val="돋움"/>
            <family val="3"/>
            <charset val="129"/>
          </rPr>
          <t>시트</t>
        </r>
        <r>
          <rPr>
            <sz val="9"/>
            <color indexed="81"/>
            <rFont val="Tahoma"/>
            <family val="2"/>
          </rPr>
          <t>4</t>
        </r>
        <r>
          <rPr>
            <sz val="9"/>
            <color indexed="81"/>
            <rFont val="돋움"/>
            <family val="3"/>
            <charset val="129"/>
          </rPr>
          <t>번에</t>
        </r>
        <r>
          <rPr>
            <sz val="9"/>
            <color indexed="81"/>
            <rFont val="Tahoma"/>
            <family val="2"/>
          </rPr>
          <t xml:space="preserve"> </t>
        </r>
        <r>
          <rPr>
            <sz val="9"/>
            <color indexed="81"/>
            <rFont val="돋움"/>
            <family val="3"/>
            <charset val="129"/>
          </rPr>
          <t>기입하여주세요</t>
        </r>
        <r>
          <rPr>
            <sz val="9"/>
            <color indexed="81"/>
            <rFont val="Tahoma"/>
            <family val="2"/>
          </rPr>
          <t>.</t>
        </r>
      </text>
    </comment>
    <comment ref="Y22" authorId="0" shapeId="0" xr:uid="{E12E8713-F6B4-461F-9776-A1A94B4C229A}">
      <text>
        <r>
          <rPr>
            <b/>
            <sz val="9"/>
            <color indexed="81"/>
            <rFont val="나눔고딕"/>
            <family val="3"/>
            <charset val="129"/>
          </rPr>
          <t>* 비지정석 :  오픈좌석 수 기입
* 지정석 : 좌석등급별 좌석 수 기입</t>
        </r>
        <r>
          <rPr>
            <sz val="9"/>
            <color indexed="81"/>
            <rFont val="나눔고딕"/>
            <family val="3"/>
            <charset val="129"/>
          </rPr>
          <t xml:space="preserve">
---&gt;지정석일 경우, 좌석배치도 유첨 필수</t>
        </r>
      </text>
    </comment>
    <comment ref="E29" authorId="2" shapeId="0" xr:uid="{00000000-0006-0000-0000-000002000000}">
      <text>
        <r>
          <rPr>
            <b/>
            <sz val="9"/>
            <color indexed="81"/>
            <rFont val="돋움"/>
            <family val="3"/>
            <charset val="129"/>
          </rPr>
          <t>페이코</t>
        </r>
        <r>
          <rPr>
            <b/>
            <sz val="9"/>
            <color indexed="81"/>
            <rFont val="Tahoma"/>
            <family val="2"/>
          </rPr>
          <t xml:space="preserve"> VIP </t>
        </r>
        <r>
          <rPr>
            <b/>
            <sz val="9"/>
            <color indexed="81"/>
            <rFont val="돋움"/>
            <family val="3"/>
            <charset val="129"/>
          </rPr>
          <t>회원</t>
        </r>
        <r>
          <rPr>
            <b/>
            <sz val="9"/>
            <color indexed="81"/>
            <rFont val="Tahoma"/>
            <family val="2"/>
          </rPr>
          <t xml:space="preserve"> </t>
        </r>
        <r>
          <rPr>
            <b/>
            <sz val="9"/>
            <color indexed="81"/>
            <rFont val="돋움"/>
            <family val="3"/>
            <charset val="129"/>
          </rPr>
          <t>할인</t>
        </r>
        <r>
          <rPr>
            <b/>
            <sz val="9"/>
            <color indexed="81"/>
            <rFont val="Tahoma"/>
            <family val="2"/>
          </rPr>
          <t xml:space="preserve"> </t>
        </r>
        <r>
          <rPr>
            <b/>
            <sz val="9"/>
            <color indexed="81"/>
            <rFont val="돋움"/>
            <family val="3"/>
            <charset val="129"/>
          </rPr>
          <t>제공</t>
        </r>
        <r>
          <rPr>
            <b/>
            <sz val="9"/>
            <color indexed="81"/>
            <rFont val="Tahoma"/>
            <family val="2"/>
          </rPr>
          <t xml:space="preserve"> </t>
        </r>
        <r>
          <rPr>
            <b/>
            <sz val="9"/>
            <color indexed="81"/>
            <rFont val="돋움"/>
            <family val="3"/>
            <charset val="129"/>
          </rPr>
          <t xml:space="preserve">시
</t>
        </r>
        <r>
          <rPr>
            <sz val="9"/>
            <color indexed="81"/>
            <rFont val="돋움"/>
            <family val="3"/>
            <charset val="129"/>
          </rPr>
          <t xml:space="preserve">
</t>
        </r>
        <r>
          <rPr>
            <b/>
            <sz val="9"/>
            <color indexed="81"/>
            <rFont val="Tahoma"/>
            <family val="2"/>
          </rPr>
          <t>[</t>
        </r>
        <r>
          <rPr>
            <b/>
            <sz val="9"/>
            <color indexed="81"/>
            <rFont val="돋움"/>
            <family val="3"/>
            <charset val="129"/>
          </rPr>
          <t>티켓링크</t>
        </r>
        <r>
          <rPr>
            <b/>
            <sz val="9"/>
            <color indexed="81"/>
            <rFont val="Tahoma"/>
            <family val="2"/>
          </rPr>
          <t>]</t>
        </r>
        <r>
          <rPr>
            <sz val="9"/>
            <color indexed="81"/>
            <rFont val="돋움"/>
            <family val="3"/>
            <charset val="129"/>
          </rPr>
          <t xml:space="preserve">
</t>
        </r>
        <r>
          <rPr>
            <sz val="9"/>
            <color indexed="81"/>
            <rFont val="Tahoma"/>
            <family val="2"/>
          </rPr>
          <t xml:space="preserve">1. </t>
        </r>
        <r>
          <rPr>
            <sz val="9"/>
            <color indexed="81"/>
            <rFont val="돋움"/>
            <family val="3"/>
            <charset val="129"/>
          </rPr>
          <t>페이코</t>
        </r>
        <r>
          <rPr>
            <sz val="9"/>
            <color indexed="81"/>
            <rFont val="Tahoma"/>
            <family val="2"/>
          </rPr>
          <t xml:space="preserve"> VIP </t>
        </r>
        <r>
          <rPr>
            <sz val="9"/>
            <color indexed="81"/>
            <rFont val="돋움"/>
            <family val="3"/>
            <charset val="129"/>
          </rPr>
          <t>할인</t>
        </r>
        <r>
          <rPr>
            <sz val="9"/>
            <color indexed="81"/>
            <rFont val="Tahoma"/>
            <family val="2"/>
          </rPr>
          <t xml:space="preserve"> </t>
        </r>
        <r>
          <rPr>
            <sz val="9"/>
            <color indexed="81"/>
            <rFont val="돋움"/>
            <family val="3"/>
            <charset val="129"/>
          </rPr>
          <t>배너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기획전</t>
        </r>
        <r>
          <rPr>
            <sz val="9"/>
            <color indexed="81"/>
            <rFont val="Tahoma"/>
            <family val="2"/>
          </rPr>
          <t xml:space="preserve"> </t>
        </r>
        <r>
          <rPr>
            <sz val="9"/>
            <color indexed="81"/>
            <rFont val="돋움"/>
            <family val="3"/>
            <charset val="129"/>
          </rPr>
          <t xml:space="preserve">노출
</t>
        </r>
        <r>
          <rPr>
            <sz val="9"/>
            <color indexed="81"/>
            <rFont val="Tahoma"/>
            <family val="2"/>
          </rPr>
          <t xml:space="preserve">2. </t>
        </r>
        <r>
          <rPr>
            <sz val="9"/>
            <color indexed="81"/>
            <rFont val="돋움"/>
            <family val="3"/>
            <charset val="129"/>
          </rPr>
          <t>티켓링크</t>
        </r>
        <r>
          <rPr>
            <sz val="9"/>
            <color indexed="81"/>
            <rFont val="Tahoma"/>
            <family val="2"/>
          </rPr>
          <t xml:space="preserve"> SNS(</t>
        </r>
        <r>
          <rPr>
            <sz val="9"/>
            <color indexed="81"/>
            <rFont val="돋움"/>
            <family val="3"/>
            <charset val="129"/>
          </rPr>
          <t>블로그</t>
        </r>
        <r>
          <rPr>
            <sz val="9"/>
            <color indexed="81"/>
            <rFont val="Tahoma"/>
            <family val="2"/>
          </rPr>
          <t>,</t>
        </r>
        <r>
          <rPr>
            <sz val="9"/>
            <color indexed="81"/>
            <rFont val="돋움"/>
            <family val="3"/>
            <charset val="129"/>
          </rPr>
          <t>페이스북</t>
        </r>
        <r>
          <rPr>
            <sz val="9"/>
            <color indexed="81"/>
            <rFont val="Tahoma"/>
            <family val="2"/>
          </rPr>
          <t>,</t>
        </r>
        <r>
          <rPr>
            <sz val="9"/>
            <color indexed="81"/>
            <rFont val="돋움"/>
            <family val="3"/>
            <charset val="129"/>
          </rPr>
          <t>인스타그램</t>
        </r>
        <r>
          <rPr>
            <sz val="9"/>
            <color indexed="81"/>
            <rFont val="Tahoma"/>
            <family val="2"/>
          </rPr>
          <t>,</t>
        </r>
        <r>
          <rPr>
            <sz val="9"/>
            <color indexed="81"/>
            <rFont val="돋움"/>
            <family val="3"/>
            <charset val="129"/>
          </rPr>
          <t>트위터</t>
        </r>
        <r>
          <rPr>
            <sz val="9"/>
            <color indexed="81"/>
            <rFont val="Tahoma"/>
            <family val="2"/>
          </rPr>
          <t xml:space="preserve">)
3. </t>
        </r>
        <r>
          <rPr>
            <sz val="9"/>
            <color indexed="81"/>
            <rFont val="돋움"/>
            <family val="3"/>
            <charset val="129"/>
          </rPr>
          <t>페이코</t>
        </r>
        <r>
          <rPr>
            <sz val="9"/>
            <color indexed="81"/>
            <rFont val="Tahoma"/>
            <family val="2"/>
          </rPr>
          <t xml:space="preserve"> VIP </t>
        </r>
        <r>
          <rPr>
            <sz val="9"/>
            <color indexed="81"/>
            <rFont val="돋움"/>
            <family val="3"/>
            <charset val="129"/>
          </rPr>
          <t>할인</t>
        </r>
        <r>
          <rPr>
            <sz val="9"/>
            <color indexed="81"/>
            <rFont val="Tahoma"/>
            <family val="2"/>
          </rPr>
          <t xml:space="preserve"> </t>
        </r>
        <r>
          <rPr>
            <sz val="9"/>
            <color indexed="81"/>
            <rFont val="돋움"/>
            <family val="3"/>
            <charset val="129"/>
          </rPr>
          <t>관련</t>
        </r>
        <r>
          <rPr>
            <sz val="9"/>
            <color indexed="81"/>
            <rFont val="Tahoma"/>
            <family val="2"/>
          </rPr>
          <t xml:space="preserve"> </t>
        </r>
        <r>
          <rPr>
            <sz val="9"/>
            <color indexed="81"/>
            <rFont val="돋움"/>
            <family val="3"/>
            <charset val="129"/>
          </rPr>
          <t>광고</t>
        </r>
        <r>
          <rPr>
            <sz val="9"/>
            <color indexed="81"/>
            <rFont val="Tahoma"/>
            <family val="2"/>
          </rPr>
          <t xml:space="preserve"> </t>
        </r>
        <r>
          <rPr>
            <sz val="9"/>
            <color indexed="81"/>
            <rFont val="돋움"/>
            <family val="3"/>
            <charset val="129"/>
          </rPr>
          <t xml:space="preserve">진행
</t>
        </r>
        <r>
          <rPr>
            <sz val="9"/>
            <color indexed="81"/>
            <rFont val="Tahoma"/>
            <family val="2"/>
          </rPr>
          <t xml:space="preserve">
</t>
        </r>
        <r>
          <rPr>
            <b/>
            <sz val="9"/>
            <color indexed="81"/>
            <rFont val="Tahoma"/>
            <family val="2"/>
          </rPr>
          <t>[</t>
        </r>
        <r>
          <rPr>
            <b/>
            <sz val="9"/>
            <color indexed="81"/>
            <rFont val="돋움"/>
            <family val="3"/>
            <charset val="129"/>
          </rPr>
          <t>페이코</t>
        </r>
        <r>
          <rPr>
            <b/>
            <sz val="9"/>
            <color indexed="81"/>
            <rFont val="Tahoma"/>
            <family val="2"/>
          </rPr>
          <t>]</t>
        </r>
        <r>
          <rPr>
            <sz val="9"/>
            <color indexed="81"/>
            <rFont val="Tahoma"/>
            <family val="2"/>
          </rPr>
          <t xml:space="preserve">
1. </t>
        </r>
        <r>
          <rPr>
            <sz val="9"/>
            <color indexed="81"/>
            <rFont val="돋움"/>
            <family val="3"/>
            <charset val="129"/>
          </rPr>
          <t>페이코</t>
        </r>
        <r>
          <rPr>
            <sz val="9"/>
            <color indexed="81"/>
            <rFont val="Tahoma"/>
            <family val="2"/>
          </rPr>
          <t xml:space="preserve"> PC,</t>
        </r>
        <r>
          <rPr>
            <sz val="9"/>
            <color indexed="81"/>
            <rFont val="돋움"/>
            <family val="3"/>
            <charset val="129"/>
          </rPr>
          <t>앱에서</t>
        </r>
        <r>
          <rPr>
            <sz val="9"/>
            <color indexed="81"/>
            <rFont val="Tahoma"/>
            <family val="2"/>
          </rPr>
          <t xml:space="preserve"> VIP </t>
        </r>
        <r>
          <rPr>
            <sz val="9"/>
            <color indexed="81"/>
            <rFont val="돋움"/>
            <family val="3"/>
            <charset val="129"/>
          </rPr>
          <t>할인</t>
        </r>
        <r>
          <rPr>
            <sz val="9"/>
            <color indexed="81"/>
            <rFont val="Tahoma"/>
            <family val="2"/>
          </rPr>
          <t xml:space="preserve"> </t>
        </r>
        <r>
          <rPr>
            <sz val="9"/>
            <color indexed="81"/>
            <rFont val="돋움"/>
            <family val="3"/>
            <charset val="129"/>
          </rPr>
          <t>공연</t>
        </r>
        <r>
          <rPr>
            <sz val="9"/>
            <color indexed="81"/>
            <rFont val="Tahoma"/>
            <family val="2"/>
          </rPr>
          <t xml:space="preserve"> </t>
        </r>
        <r>
          <rPr>
            <sz val="9"/>
            <color indexed="81"/>
            <rFont val="돋움"/>
            <family val="3"/>
            <charset val="129"/>
          </rPr>
          <t xml:space="preserve">홍보
</t>
        </r>
        <r>
          <rPr>
            <sz val="9"/>
            <color indexed="81"/>
            <rFont val="Tahoma"/>
            <family val="2"/>
          </rPr>
          <t xml:space="preserve">2. </t>
        </r>
        <r>
          <rPr>
            <sz val="9"/>
            <color indexed="81"/>
            <rFont val="돋움"/>
            <family val="3"/>
            <charset val="129"/>
          </rPr>
          <t>페이코</t>
        </r>
        <r>
          <rPr>
            <sz val="9"/>
            <color indexed="81"/>
            <rFont val="Tahoma"/>
            <family val="2"/>
          </rPr>
          <t xml:space="preserve"> </t>
        </r>
        <r>
          <rPr>
            <sz val="9"/>
            <color indexed="81"/>
            <rFont val="돋움"/>
            <family val="3"/>
            <charset val="129"/>
          </rPr>
          <t>앱</t>
        </r>
        <r>
          <rPr>
            <sz val="9"/>
            <color indexed="81"/>
            <rFont val="Tahoma"/>
            <family val="2"/>
          </rPr>
          <t xml:space="preserve"> </t>
        </r>
        <r>
          <rPr>
            <sz val="9"/>
            <color indexed="81"/>
            <rFont val="돋움"/>
            <family val="3"/>
            <charset val="129"/>
          </rPr>
          <t xml:space="preserve">푸쉬
</t>
        </r>
        <r>
          <rPr>
            <sz val="9"/>
            <color indexed="81"/>
            <rFont val="Tahoma"/>
            <family val="2"/>
          </rPr>
          <t xml:space="preserve">* </t>
        </r>
        <r>
          <rPr>
            <sz val="9"/>
            <color indexed="81"/>
            <rFont val="돋움"/>
            <family val="3"/>
            <charset val="129"/>
          </rPr>
          <t>사정에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상기</t>
        </r>
        <r>
          <rPr>
            <sz val="9"/>
            <color indexed="81"/>
            <rFont val="Tahoma"/>
            <family val="2"/>
          </rPr>
          <t xml:space="preserve"> </t>
        </r>
        <r>
          <rPr>
            <sz val="9"/>
            <color indexed="81"/>
            <rFont val="돋움"/>
            <family val="3"/>
            <charset val="129"/>
          </rPr>
          <t>홍보가</t>
        </r>
        <r>
          <rPr>
            <sz val="9"/>
            <color indexed="81"/>
            <rFont val="Tahoma"/>
            <family val="2"/>
          </rPr>
          <t xml:space="preserve"> </t>
        </r>
        <r>
          <rPr>
            <sz val="9"/>
            <color indexed="81"/>
            <rFont val="돋움"/>
            <family val="3"/>
            <charset val="129"/>
          </rPr>
          <t>추가되거나</t>
        </r>
        <r>
          <rPr>
            <sz val="9"/>
            <color indexed="81"/>
            <rFont val="Tahoma"/>
            <family val="2"/>
          </rPr>
          <t xml:space="preserve"> </t>
        </r>
        <r>
          <rPr>
            <sz val="9"/>
            <color indexed="81"/>
            <rFont val="돋움"/>
            <family val="3"/>
            <charset val="129"/>
          </rPr>
          <t>변경될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있습니다</t>
        </r>
        <r>
          <rPr>
            <sz val="9"/>
            <color indexed="81"/>
            <rFont val="Tahoma"/>
            <family val="2"/>
          </rPr>
          <t>.</t>
        </r>
      </text>
    </comment>
    <comment ref="E30" authorId="0" shapeId="0" xr:uid="{57909FEA-8DCA-4CC8-9E3B-B5A721DDF0E0}">
      <text>
        <r>
          <rPr>
            <b/>
            <sz val="9"/>
            <color indexed="81"/>
            <rFont val="나눔고딕"/>
            <family val="3"/>
            <charset val="129"/>
          </rPr>
          <t>티켓에 대한 할인 권종이 있을 시 필수 기입.</t>
        </r>
        <r>
          <rPr>
            <sz val="9"/>
            <color indexed="81"/>
            <rFont val="나눔고딕"/>
            <family val="3"/>
            <charset val="129"/>
          </rPr>
          <t xml:space="preserve">
등급에 따른 할인율/적용회차/매수제한 등 상세히 기재해주셔야 합니다.</t>
        </r>
      </text>
    </comment>
    <comment ref="A38" authorId="0" shapeId="0" xr:uid="{7CE6FF8D-3560-49E3-BBD6-B73EB3794D73}">
      <text>
        <r>
          <rPr>
            <sz val="9"/>
            <color indexed="81"/>
            <rFont val="나눔고딕"/>
            <family val="3"/>
            <charset val="129"/>
          </rPr>
          <t>계약 기획사와 정산 기획사는 동일해야 합니다. 
참고하여 작성 부탁드립니다.</t>
        </r>
      </text>
    </comment>
    <comment ref="A44" authorId="0" shapeId="0" xr:uid="{F858568B-7D84-47B5-A21E-A04B4952A059}">
      <text>
        <r>
          <rPr>
            <b/>
            <sz val="9"/>
            <color indexed="81"/>
            <rFont val="돋움"/>
            <family val="3"/>
            <charset val="129"/>
          </rPr>
          <t>공연법</t>
        </r>
        <r>
          <rPr>
            <b/>
            <sz val="9"/>
            <color indexed="81"/>
            <rFont val="Tahoma"/>
            <family val="2"/>
          </rPr>
          <t xml:space="preserve"> </t>
        </r>
        <r>
          <rPr>
            <b/>
            <sz val="9"/>
            <color indexed="81"/>
            <rFont val="돋움"/>
            <family val="3"/>
            <charset val="129"/>
          </rPr>
          <t>제</t>
        </r>
        <r>
          <rPr>
            <b/>
            <sz val="9"/>
            <color indexed="81"/>
            <rFont val="Tahoma"/>
            <family val="2"/>
          </rPr>
          <t>4</t>
        </r>
        <r>
          <rPr>
            <b/>
            <sz val="9"/>
            <color indexed="81"/>
            <rFont val="돋움"/>
            <family val="3"/>
            <charset val="129"/>
          </rPr>
          <t>조</t>
        </r>
        <r>
          <rPr>
            <b/>
            <sz val="9"/>
            <color indexed="81"/>
            <rFont val="Tahoma"/>
            <family val="2"/>
          </rPr>
          <t>(</t>
        </r>
        <r>
          <rPr>
            <b/>
            <sz val="9"/>
            <color indexed="81"/>
            <rFont val="돋움"/>
            <family val="3"/>
            <charset val="129"/>
          </rPr>
          <t>공연예술통합전산망</t>
        </r>
        <r>
          <rPr>
            <b/>
            <sz val="9"/>
            <color indexed="81"/>
            <rFont val="Tahoma"/>
            <family val="2"/>
          </rPr>
          <t>)</t>
        </r>
        <r>
          <rPr>
            <b/>
            <sz val="9"/>
            <color indexed="81"/>
            <rFont val="돋움"/>
            <family val="3"/>
            <charset val="129"/>
          </rPr>
          <t>에</t>
        </r>
        <r>
          <rPr>
            <b/>
            <sz val="9"/>
            <color indexed="81"/>
            <rFont val="Tahoma"/>
            <family val="2"/>
          </rPr>
          <t xml:space="preserve"> </t>
        </r>
        <r>
          <rPr>
            <b/>
            <sz val="9"/>
            <color indexed="81"/>
            <rFont val="돋움"/>
            <family val="3"/>
            <charset val="129"/>
          </rPr>
          <t>의해</t>
        </r>
        <r>
          <rPr>
            <b/>
            <sz val="9"/>
            <color indexed="81"/>
            <rFont val="Tahoma"/>
            <family val="2"/>
          </rPr>
          <t xml:space="preserve"> </t>
        </r>
        <r>
          <rPr>
            <b/>
            <sz val="9"/>
            <color indexed="81"/>
            <rFont val="돋움"/>
            <family val="3"/>
            <charset val="129"/>
          </rPr>
          <t>필수</t>
        </r>
        <r>
          <rPr>
            <b/>
            <sz val="9"/>
            <color indexed="81"/>
            <rFont val="Tahoma"/>
            <family val="2"/>
          </rPr>
          <t xml:space="preserve"> </t>
        </r>
        <r>
          <rPr>
            <b/>
            <sz val="9"/>
            <color indexed="81"/>
            <rFont val="돋움"/>
            <family val="3"/>
            <charset val="129"/>
          </rPr>
          <t>선택</t>
        </r>
        <r>
          <rPr>
            <b/>
            <sz val="9"/>
            <color indexed="81"/>
            <rFont val="Tahoma"/>
            <family val="2"/>
          </rPr>
          <t xml:space="preserve">. </t>
        </r>
        <r>
          <rPr>
            <b/>
            <sz val="9"/>
            <color indexed="81"/>
            <rFont val="돋움"/>
            <family val="3"/>
            <charset val="129"/>
          </rPr>
          <t>단</t>
        </r>
        <r>
          <rPr>
            <b/>
            <sz val="9"/>
            <color indexed="81"/>
            <rFont val="Tahoma"/>
            <family val="2"/>
          </rPr>
          <t xml:space="preserve">, </t>
        </r>
        <r>
          <rPr>
            <b/>
            <sz val="9"/>
            <color indexed="81"/>
            <rFont val="돋움"/>
            <family val="3"/>
            <charset val="129"/>
          </rPr>
          <t>온라인공연은</t>
        </r>
        <r>
          <rPr>
            <b/>
            <sz val="9"/>
            <color indexed="81"/>
            <rFont val="Tahoma"/>
            <family val="2"/>
          </rPr>
          <t xml:space="preserve"> </t>
        </r>
        <r>
          <rPr>
            <b/>
            <sz val="9"/>
            <color indexed="81"/>
            <rFont val="돋움"/>
            <family val="3"/>
            <charset val="129"/>
          </rPr>
          <t>제외</t>
        </r>
      </text>
    </comment>
    <comment ref="B54" authorId="2" shapeId="0" xr:uid="{00000000-0006-0000-0000-000003000000}">
      <text>
        <r>
          <rPr>
            <b/>
            <sz val="9"/>
            <color indexed="81"/>
            <rFont val="Tahoma"/>
            <family val="2"/>
          </rPr>
          <t xml:space="preserve">http://ticketlink.co.kr 
</t>
        </r>
        <r>
          <rPr>
            <b/>
            <sz val="9"/>
            <color indexed="81"/>
            <rFont val="돋움"/>
            <family val="3"/>
            <charset val="129"/>
          </rPr>
          <t>티켓링크에서</t>
        </r>
        <r>
          <rPr>
            <b/>
            <sz val="9"/>
            <color indexed="81"/>
            <rFont val="Tahoma"/>
            <family val="2"/>
          </rPr>
          <t xml:space="preserve"> </t>
        </r>
        <r>
          <rPr>
            <b/>
            <sz val="9"/>
            <color indexed="81"/>
            <rFont val="돋움"/>
            <family val="3"/>
            <charset val="129"/>
          </rPr>
          <t>페이코</t>
        </r>
        <r>
          <rPr>
            <b/>
            <sz val="9"/>
            <color indexed="81"/>
            <rFont val="Tahoma"/>
            <family val="2"/>
          </rPr>
          <t xml:space="preserve"> </t>
        </r>
        <r>
          <rPr>
            <b/>
            <sz val="9"/>
            <color indexed="81"/>
            <rFont val="돋움"/>
            <family val="3"/>
            <charset val="129"/>
          </rPr>
          <t>회원</t>
        </r>
        <r>
          <rPr>
            <b/>
            <sz val="9"/>
            <color indexed="81"/>
            <rFont val="Tahoma"/>
            <family val="2"/>
          </rPr>
          <t xml:space="preserve"> </t>
        </r>
        <r>
          <rPr>
            <b/>
            <sz val="9"/>
            <color indexed="81"/>
            <rFont val="돋움"/>
            <family val="3"/>
            <charset val="129"/>
          </rPr>
          <t>가입</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가입한</t>
        </r>
        <r>
          <rPr>
            <b/>
            <sz val="9"/>
            <color indexed="81"/>
            <rFont val="Tahoma"/>
            <family val="2"/>
          </rPr>
          <t xml:space="preserve"> </t>
        </r>
        <r>
          <rPr>
            <b/>
            <sz val="9"/>
            <color indexed="81"/>
            <rFont val="돋움"/>
            <family val="3"/>
            <charset val="129"/>
          </rPr>
          <t>이메일</t>
        </r>
        <r>
          <rPr>
            <b/>
            <sz val="9"/>
            <color indexed="81"/>
            <rFont val="Tahoma"/>
            <family val="2"/>
          </rPr>
          <t xml:space="preserve"> </t>
        </r>
        <r>
          <rPr>
            <b/>
            <sz val="9"/>
            <color indexed="81"/>
            <rFont val="돋움"/>
            <family val="3"/>
            <charset val="129"/>
          </rPr>
          <t>아이디</t>
        </r>
        <r>
          <rPr>
            <b/>
            <sz val="9"/>
            <color indexed="81"/>
            <rFont val="Tahoma"/>
            <family val="2"/>
          </rPr>
          <t xml:space="preserve"> </t>
        </r>
        <r>
          <rPr>
            <b/>
            <sz val="9"/>
            <color indexed="81"/>
            <rFont val="돋움"/>
            <family val="3"/>
            <charset val="129"/>
          </rPr>
          <t>기재</t>
        </r>
      </text>
    </comment>
  </commentList>
</comments>
</file>

<file path=xl/sharedStrings.xml><?xml version="1.0" encoding="utf-8"?>
<sst xmlns="http://schemas.openxmlformats.org/spreadsheetml/2006/main" count="344" uniqueCount="265">
  <si>
    <t>제목</t>
    <phoneticPr fontId="1" type="noConversion"/>
  </si>
  <si>
    <t>부제목</t>
    <phoneticPr fontId="1" type="noConversion"/>
  </si>
  <si>
    <t>기획사명</t>
  </si>
  <si>
    <t>예매자 티켓발권</t>
    <phoneticPr fontId="1" type="noConversion"/>
  </si>
  <si>
    <t>공연입장권 판매대행 의뢰서</t>
    <phoneticPr fontId="1" type="noConversion"/>
  </si>
  <si>
    <t>장 르</t>
    <phoneticPr fontId="1" type="noConversion"/>
  </si>
  <si>
    <t xml:space="preserve">   NHN티켓링크 담당자 : </t>
    <phoneticPr fontId="1" type="noConversion"/>
  </si>
  <si>
    <t>비고</t>
    <phoneticPr fontId="1" type="noConversion"/>
  </si>
  <si>
    <t>공연 정보</t>
    <phoneticPr fontId="1" type="noConversion"/>
  </si>
  <si>
    <t>분</t>
    <phoneticPr fontId="1" type="noConversion"/>
  </si>
  <si>
    <t>이상</t>
    <phoneticPr fontId="1" type="noConversion"/>
  </si>
  <si>
    <t>세</t>
    <phoneticPr fontId="1" type="noConversion"/>
  </si>
  <si>
    <t>공연 담당자명</t>
    <phoneticPr fontId="1" type="noConversion"/>
  </si>
  <si>
    <t>정산 은행명</t>
    <phoneticPr fontId="1" type="noConversion"/>
  </si>
  <si>
    <t>세금계산서 담당자명</t>
    <phoneticPr fontId="1" type="noConversion"/>
  </si>
  <si>
    <t>관람연령</t>
    <phoneticPr fontId="1" type="noConversion"/>
  </si>
  <si>
    <t>러닝타임</t>
    <phoneticPr fontId="1" type="noConversion"/>
  </si>
  <si>
    <t>인터미션</t>
    <phoneticPr fontId="1" type="noConversion"/>
  </si>
  <si>
    <t>현장 시스템 사용</t>
    <phoneticPr fontId="1" type="noConversion"/>
  </si>
  <si>
    <t>좌석 구분</t>
    <phoneticPr fontId="1" type="noConversion"/>
  </si>
  <si>
    <t>판매 형태</t>
    <phoneticPr fontId="1" type="noConversion"/>
  </si>
  <si>
    <t>정산 주기</t>
    <phoneticPr fontId="1" type="noConversion"/>
  </si>
  <si>
    <t>관리자
페이지</t>
    <phoneticPr fontId="1" type="noConversion"/>
  </si>
  <si>
    <t>총</t>
    <phoneticPr fontId="1" type="noConversion"/>
  </si>
  <si>
    <t>분</t>
    <phoneticPr fontId="1" type="noConversion"/>
  </si>
  <si>
    <t>공연등급
및
가격 배정
* 좌석세부
  사항별첨 참조</t>
    <phoneticPr fontId="1" type="noConversion"/>
  </si>
  <si>
    <t>대표자명</t>
    <phoneticPr fontId="1" type="noConversion"/>
  </si>
  <si>
    <t>사업자등록번호</t>
    <phoneticPr fontId="1" type="noConversion"/>
  </si>
  <si>
    <t>담당자 연락처</t>
    <phoneticPr fontId="1" type="noConversion"/>
  </si>
  <si>
    <t>E-mail</t>
    <phoneticPr fontId="1" type="noConversion"/>
  </si>
  <si>
    <t>예금주명</t>
    <phoneticPr fontId="1" type="noConversion"/>
  </si>
  <si>
    <t>계좌번호</t>
    <phoneticPr fontId="1" type="noConversion"/>
  </si>
  <si>
    <t>사업장 주소</t>
    <phoneticPr fontId="1" type="noConversion"/>
  </si>
  <si>
    <t>연락처</t>
    <phoneticPr fontId="1" type="noConversion"/>
  </si>
  <si>
    <t xml:space="preserve"> http://seller.ticketlink.co.kr</t>
    <phoneticPr fontId="1" type="noConversion"/>
  </si>
  <si>
    <t>상품
상세
정보</t>
    <phoneticPr fontId="1" type="noConversion"/>
  </si>
  <si>
    <t>공지사항 제목</t>
    <phoneticPr fontId="1" type="noConversion"/>
  </si>
  <si>
    <t>공지분류</t>
    <phoneticPr fontId="1" type="noConversion"/>
  </si>
  <si>
    <t>공연 정보</t>
    <phoneticPr fontId="1" type="noConversion"/>
  </si>
  <si>
    <t>기획사 정보</t>
    <phoneticPr fontId="1" type="noConversion"/>
  </si>
  <si>
    <t>공연 내용</t>
    <phoneticPr fontId="1" type="noConversion"/>
  </si>
  <si>
    <t>공지사항 등록 의뢰서</t>
    <phoneticPr fontId="1" type="noConversion"/>
  </si>
  <si>
    <t>* 기획사는 오직 신고된 계좌로만의 지급만이 적절한 지급임을 인정하고, 이와 관련하여 발생하는 손실에 대해서는 어떠한 이의를 제기하지 아니함을 약정합니다.</t>
    <phoneticPr fontId="1" type="noConversion"/>
  </si>
  <si>
    <t xml:space="preserve">* 입금계좌는 계약한 기획사명의의 계좌만 등록이 가능하며, 등록 후 정산관련된 금액은 등록된 계좌로만 지급이 가능합니다. </t>
    <phoneticPr fontId="1" type="noConversion"/>
  </si>
  <si>
    <t>* 기획사는 입금계좌가 변경 또는 해지될 경우, 즉시 NHN티켓링크에게 통지하여야 하며 이를 이행하지 아니하여 발생하는 문제에 대해서는 기획사가 모든 책임을 갖습니다.</t>
    <phoneticPr fontId="1" type="noConversion"/>
  </si>
  <si>
    <t>* 기획사는 신고되지 아니한 계좌로 지급을 요청할 수 없으며, 이로 인하여 발생하는 문제에 대해서는 NHN티켓링크를 즉시 면책시키고 기획사가 모든 책임을 갖습니다.</t>
    <phoneticPr fontId="1" type="noConversion"/>
  </si>
  <si>
    <t>우편번호</t>
    <phoneticPr fontId="1" type="noConversion"/>
  </si>
  <si>
    <t>http://www.ticketlink.co.kr 에서 회원가입</t>
    <phoneticPr fontId="1" type="noConversion"/>
  </si>
  <si>
    <t>관리자 페이지 사용자 등록</t>
    <phoneticPr fontId="1" type="noConversion"/>
  </si>
  <si>
    <t>이미지 사이즈 표</t>
    <phoneticPr fontId="1" type="noConversion"/>
  </si>
  <si>
    <t>영역</t>
    <phoneticPr fontId="1" type="noConversion"/>
  </si>
  <si>
    <t>사이즈 (픽셀)</t>
    <phoneticPr fontId="1" type="noConversion"/>
  </si>
  <si>
    <t>브릿지 페이지</t>
    <phoneticPr fontId="1" type="noConversion"/>
  </si>
  <si>
    <t>* 대표 이미지</t>
    <phoneticPr fontId="1" type="noConversion"/>
  </si>
  <si>
    <t>* 공연 상세 / 할인</t>
    <phoneticPr fontId="1" type="noConversion"/>
  </si>
  <si>
    <t>* 표시된 이미지는 필수 전달 사항입니다.</t>
    <phoneticPr fontId="1" type="noConversion"/>
  </si>
  <si>
    <t>오픈공지 이미지</t>
    <phoneticPr fontId="1" type="noConversion"/>
  </si>
  <si>
    <t>-</t>
    <phoneticPr fontId="1" type="noConversion"/>
  </si>
  <si>
    <t>* 기타 자료: 홍보용 공연/아티스트 스틸컷 이미지, 영상, 공연보도자료 (해당 기타 자료는 티켓링크 사이트 및 티켓링크 블로그, 페이스북, 기타 채널 홍보로 쓰여집니다)</t>
    <phoneticPr fontId="1" type="noConversion"/>
  </si>
  <si>
    <t>파일형식</t>
    <phoneticPr fontId="1" type="noConversion"/>
  </si>
  <si>
    <t>JPG</t>
    <phoneticPr fontId="1" type="noConversion"/>
  </si>
  <si>
    <t>세로 제한 없음 (1MB이하)</t>
    <phoneticPr fontId="1" type="noConversion"/>
  </si>
  <si>
    <t>예매 페이지 상단 좌측 (1MB이하)</t>
    <phoneticPr fontId="1" type="noConversion"/>
  </si>
  <si>
    <t>할인 정보</t>
    <phoneticPr fontId="1" type="noConversion"/>
  </si>
  <si>
    <t>공연 검색어</t>
    <phoneticPr fontId="1" type="noConversion"/>
  </si>
  <si>
    <t>관리자 페이지 URL</t>
    <phoneticPr fontId="1" type="noConversion"/>
  </si>
  <si>
    <t>일괄 배송 일정</t>
    <phoneticPr fontId="1" type="noConversion"/>
  </si>
  <si>
    <t>공연일 14일전까지 가능</t>
    <phoneticPr fontId="1" type="noConversion"/>
  </si>
  <si>
    <t>티켓 판매 마감일</t>
    <phoneticPr fontId="1" type="noConversion"/>
  </si>
  <si>
    <t>티켓 판매 오픈일
(오픈시간 필수)</t>
    <phoneticPr fontId="1" type="noConversion"/>
  </si>
  <si>
    <t>티켓링크 가입 ID</t>
    <phoneticPr fontId="1" type="noConversion"/>
  </si>
  <si>
    <t>* 필수 첨부 서류: 판매대행의뢰서, 사업자등록증, 정산통장사본, 좌석배치도(지정석일 경우 판매좌석 표기), 공연 포스터, 상세페이지, 브릿지페이지(선택사항) 등 이미지</t>
    <phoneticPr fontId="1" type="noConversion"/>
  </si>
  <si>
    <t>개인정보 수집•이용 안내</t>
    <phoneticPr fontId="1" type="noConversion"/>
  </si>
  <si>
    <t>공연입장권 판매대행 업무 처리를 위해 기획사 담당자의 이름, 연락처(전화 또는 휴대폰), 이메일, 정산을 위한 정보(은행, 계좌번호, 예금주), ID를 수집하며 이용목적 달성 및 법령에 따른 보유기간까지 보관됩니다. 
위 내용에 동의를 거부하실 수 있으나 동의 거부시에는 판매대행 신청에 제한이 있을 수 있습니다.</t>
    <phoneticPr fontId="1" type="noConversion"/>
  </si>
  <si>
    <t>정산 유형</t>
    <phoneticPr fontId="1" type="noConversion"/>
  </si>
  <si>
    <t>기타정보</t>
    <phoneticPr fontId="1" type="noConversion"/>
  </si>
  <si>
    <t>기타 수수료</t>
    <phoneticPr fontId="1" type="noConversion"/>
  </si>
  <si>
    <r>
      <t xml:space="preserve">판매대행
수수료
</t>
    </r>
    <r>
      <rPr>
        <b/>
        <sz val="10"/>
        <color rgb="FFFF0000"/>
        <rFont val="맑은 고딕"/>
        <family val="3"/>
        <charset val="129"/>
        <scheme val="minor"/>
      </rPr>
      <t>(VAT별도)</t>
    </r>
    <phoneticPr fontId="1" type="noConversion"/>
  </si>
  <si>
    <t>판매좌석 수</t>
    <phoneticPr fontId="1" type="noConversion"/>
  </si>
  <si>
    <t>원</t>
    <phoneticPr fontId="1" type="noConversion"/>
  </si>
  <si>
    <t>정가</t>
    <phoneticPr fontId="1" type="noConversion"/>
  </si>
  <si>
    <t>석</t>
    <phoneticPr fontId="1" type="noConversion"/>
  </si>
  <si>
    <t>권종</t>
    <phoneticPr fontId="1" type="noConversion"/>
  </si>
  <si>
    <t>이름(기획사명)</t>
    <phoneticPr fontId="1" type="noConversion"/>
  </si>
  <si>
    <t>기획사/현장</t>
    <phoneticPr fontId="1" type="noConversion"/>
  </si>
  <si>
    <t>티켓링크 
대행 수수료</t>
    <phoneticPr fontId="1" type="noConversion"/>
  </si>
  <si>
    <t>현장 현금 수령</t>
    <phoneticPr fontId="1" type="noConversion"/>
  </si>
  <si>
    <t>온라인 판매</t>
    <phoneticPr fontId="1" type="noConversion"/>
  </si>
  <si>
    <t>총판 대행 수수료</t>
    <phoneticPr fontId="1" type="noConversion"/>
  </si>
  <si>
    <t>네이버 연동</t>
    <phoneticPr fontId="1" type="noConversion"/>
  </si>
  <si>
    <t>고객수수료 부과 여부</t>
    <phoneticPr fontId="1" type="noConversion"/>
  </si>
  <si>
    <t>좌석등급</t>
    <phoneticPr fontId="1" type="noConversion"/>
  </si>
  <si>
    <t>등급</t>
    <phoneticPr fontId="1" type="noConversion"/>
  </si>
  <si>
    <t>권종</t>
    <phoneticPr fontId="1" type="noConversion"/>
  </si>
  <si>
    <t>가격</t>
    <phoneticPr fontId="1" type="noConversion"/>
  </si>
  <si>
    <t>비고</t>
    <phoneticPr fontId="1" type="noConversion"/>
  </si>
  <si>
    <t>석</t>
    <phoneticPr fontId="1" type="noConversion"/>
  </si>
  <si>
    <t>등급 및 권종이 많은 경우 사용하여주세요.</t>
    <phoneticPr fontId="1" type="noConversion"/>
  </si>
  <si>
    <t>* 공연 포스터</t>
    <phoneticPr fontId="1" type="noConversion"/>
  </si>
  <si>
    <t>* 공연 포스터</t>
    <phoneticPr fontId="1" type="noConversion"/>
  </si>
  <si>
    <t>PSD / AI 중 하나</t>
    <phoneticPr fontId="1" type="noConversion"/>
  </si>
  <si>
    <t>%</t>
    <phoneticPr fontId="1" type="noConversion"/>
  </si>
  <si>
    <t>/</t>
    <phoneticPr fontId="1" type="noConversion"/>
  </si>
  <si>
    <t>%</t>
    <phoneticPr fontId="1" type="noConversion"/>
  </si>
  <si>
    <t>/</t>
    <phoneticPr fontId="1" type="noConversion"/>
  </si>
  <si>
    <t>카드:</t>
    <phoneticPr fontId="1" type="noConversion"/>
  </si>
  <si>
    <t>카드:</t>
    <phoneticPr fontId="1" type="noConversion"/>
  </si>
  <si>
    <t>현금:</t>
    <phoneticPr fontId="1" type="noConversion"/>
  </si>
  <si>
    <t>카드:</t>
    <phoneticPr fontId="1" type="noConversion"/>
  </si>
  <si>
    <t xml:space="preserve">   ▣ 후원 : </t>
    <phoneticPr fontId="1" type="noConversion"/>
  </si>
  <si>
    <t>장당 150원 (VAT포함)</t>
    <phoneticPr fontId="1" type="noConversion"/>
  </si>
  <si>
    <t>기획사
기본사항
(계약/정산)</t>
    <phoneticPr fontId="1" type="noConversion"/>
  </si>
  <si>
    <t>문화비 소득공제 
가입 여부</t>
    <phoneticPr fontId="1" type="noConversion"/>
  </si>
  <si>
    <t>주요 사항</t>
    <phoneticPr fontId="1" type="noConversion"/>
  </si>
  <si>
    <t>상품 정보 필수 표기사항
(우측 명칭 수정 불가)</t>
    <phoneticPr fontId="1" type="noConversion"/>
  </si>
  <si>
    <t>티켓 표기사항
(우측 명칭 수정 가능)</t>
    <phoneticPr fontId="1" type="noConversion"/>
  </si>
  <si>
    <t>공연예술통합전산망 정보 제공 여부</t>
    <phoneticPr fontId="1" type="noConversion"/>
  </si>
  <si>
    <t>가로 1120</t>
    <phoneticPr fontId="1" type="noConversion"/>
  </si>
  <si>
    <t>네이버 연동 시 사이즈</t>
    <phoneticPr fontId="1" type="noConversion"/>
  </si>
  <si>
    <t>매수제한</t>
    <phoneticPr fontId="1" type="noConversion"/>
  </si>
  <si>
    <t>1) 대표이미지1 :  1200*750 px
2) 대표이미지2 : 1200*415 px
3) 상세 이미지 규격 1000px 이상</t>
    <phoneticPr fontId="1" type="noConversion"/>
  </si>
  <si>
    <t>기타 정보</t>
    <phoneticPr fontId="1" type="noConversion"/>
  </si>
  <si>
    <t>클린예매
(보안문자)</t>
    <phoneticPr fontId="1" type="noConversion"/>
  </si>
  <si>
    <t>예매페이지
노출 탭</t>
    <phoneticPr fontId="1" type="noConversion"/>
  </si>
  <si>
    <t>잔여석 노출</t>
    <phoneticPr fontId="1" type="noConversion"/>
  </si>
  <si>
    <t>뮤지컬</t>
    <phoneticPr fontId="1" type="noConversion"/>
  </si>
  <si>
    <t>콘서트</t>
    <phoneticPr fontId="1" type="noConversion"/>
  </si>
  <si>
    <t>연극</t>
    <phoneticPr fontId="1" type="noConversion"/>
  </si>
  <si>
    <t>클래식/무용</t>
    <phoneticPr fontId="1" type="noConversion"/>
  </si>
  <si>
    <t>가족&amp;아동</t>
    <phoneticPr fontId="1" type="noConversion"/>
  </si>
  <si>
    <t>전시/축제</t>
    <phoneticPr fontId="1" type="noConversion"/>
  </si>
  <si>
    <t>레저/체험</t>
    <phoneticPr fontId="1" type="noConversion"/>
  </si>
  <si>
    <t>e스포츠/게임</t>
    <phoneticPr fontId="1" type="noConversion"/>
  </si>
  <si>
    <t>부가장르</t>
  </si>
  <si>
    <t>대학로</t>
    <phoneticPr fontId="1" type="noConversion"/>
  </si>
  <si>
    <t>해당없음</t>
    <phoneticPr fontId="1" type="noConversion"/>
  </si>
  <si>
    <t>현장 티켓 판매자 / 배부자 요청</t>
  </si>
  <si>
    <t>현장시스템 및 인력지원 요청서</t>
    <phoneticPr fontId="1" type="noConversion"/>
  </si>
  <si>
    <t>담당자</t>
    <phoneticPr fontId="1" type="noConversion"/>
  </si>
  <si>
    <t>티켓링크 
영업담당자</t>
    <phoneticPr fontId="1" type="noConversion"/>
  </si>
  <si>
    <t>기획사
현장 담당자</t>
    <phoneticPr fontId="1" type="noConversion"/>
  </si>
  <si>
    <t>공연명</t>
    <phoneticPr fontId="1" type="noConversion"/>
  </si>
  <si>
    <t>공연 기간</t>
    <phoneticPr fontId="1" type="noConversion"/>
  </si>
  <si>
    <t>공연 장르</t>
    <phoneticPr fontId="1" type="noConversion"/>
  </si>
  <si>
    <t>장비 설치</t>
    <phoneticPr fontId="1" type="noConversion"/>
  </si>
  <si>
    <t>구 분</t>
    <phoneticPr fontId="1" type="noConversion"/>
  </si>
  <si>
    <t>매표소</t>
    <phoneticPr fontId="1" type="noConversion"/>
  </si>
  <si>
    <t>매표소 셋업 완료 일정
(전기 / 인터넷 등)</t>
    <phoneticPr fontId="1" type="noConversion"/>
  </si>
  <si>
    <t>매표소 운영 시간</t>
    <phoneticPr fontId="1" type="noConversion"/>
  </si>
  <si>
    <t>발권용 노트북</t>
    <phoneticPr fontId="1" type="noConversion"/>
  </si>
  <si>
    <t>발권기</t>
    <phoneticPr fontId="1" type="noConversion"/>
  </si>
  <si>
    <t>카드리더기</t>
    <phoneticPr fontId="1" type="noConversion"/>
  </si>
  <si>
    <t>티켓/봉투</t>
    <phoneticPr fontId="1" type="noConversion"/>
  </si>
  <si>
    <t xml:space="preserve">티켓 </t>
    <phoneticPr fontId="1" type="noConversion"/>
  </si>
  <si>
    <t>수량</t>
    <phoneticPr fontId="1" type="noConversion"/>
  </si>
  <si>
    <t>인터넷</t>
    <phoneticPr fontId="1" type="noConversion"/>
  </si>
  <si>
    <t>매표소 구분 POP 안내문</t>
    <phoneticPr fontId="1" type="noConversion"/>
  </si>
  <si>
    <t>기획사 기본 제공</t>
    <phoneticPr fontId="1" type="noConversion"/>
  </si>
  <si>
    <t>현장 인력</t>
    <phoneticPr fontId="1" type="noConversion"/>
  </si>
  <si>
    <t>구분</t>
    <phoneticPr fontId="1" type="noConversion"/>
  </si>
  <si>
    <t>티켓링크</t>
    <phoneticPr fontId="1" type="noConversion"/>
  </si>
  <si>
    <t>기획사</t>
    <phoneticPr fontId="1" type="noConversion"/>
  </si>
  <si>
    <t>판매</t>
    <phoneticPr fontId="1" type="noConversion"/>
  </si>
  <si>
    <t>인원</t>
    <phoneticPr fontId="1" type="noConversion"/>
  </si>
  <si>
    <t>교부</t>
    <phoneticPr fontId="1" type="noConversion"/>
  </si>
  <si>
    <t>판매금 및 시재금</t>
    <phoneticPr fontId="1" type="noConversion"/>
  </si>
  <si>
    <t>인력비용</t>
    <phoneticPr fontId="1" type="noConversion"/>
  </si>
  <si>
    <t>별도 사전 협의 必</t>
    <phoneticPr fontId="1" type="noConversion"/>
  </si>
  <si>
    <t>ID</t>
    <phoneticPr fontId="1" type="noConversion"/>
  </si>
  <si>
    <t>사용자 정보(Seller 계정)</t>
    <phoneticPr fontId="25" type="noConversion"/>
  </si>
  <si>
    <t>PW</t>
    <phoneticPr fontId="1" type="noConversion"/>
  </si>
  <si>
    <t>현장용 공용계정 필요 시
 사전 요청 必</t>
    <phoneticPr fontId="1" type="noConversion"/>
  </si>
  <si>
    <t>(전달사항)  ※ 구인 인력에게 사전에 안내할 내용이 있다면 작성 부탁드립니다.</t>
    <phoneticPr fontId="1" type="noConversion"/>
  </si>
  <si>
    <r>
      <rPr>
        <b/>
        <sz val="8"/>
        <rFont val="맑은 고딕"/>
        <family val="3"/>
        <charset val="129"/>
        <scheme val="minor"/>
      </rPr>
      <t xml:space="preserve">8시간 근무 기준 일급 10만원(부가세별도) 
시급 계산 시 1시간당 15,000원(부가세별도)
</t>
    </r>
    <r>
      <rPr>
        <i/>
        <u/>
        <sz val="8"/>
        <rFont val="맑은 고딕"/>
        <family val="3"/>
        <charset val="129"/>
        <scheme val="minor"/>
      </rPr>
      <t>비고란에 근무시간 기재 부탁드립니다</t>
    </r>
    <r>
      <rPr>
        <b/>
        <sz val="8"/>
        <rFont val="맑은 고딕"/>
        <family val="3"/>
        <charset val="129"/>
        <scheme val="minor"/>
      </rPr>
      <t xml:space="preserve">
</t>
    </r>
    <r>
      <rPr>
        <b/>
        <sz val="6"/>
        <rFont val="맑은 고딕"/>
        <family val="3"/>
        <charset val="129"/>
        <scheme val="minor"/>
      </rPr>
      <t xml:space="preserve">
4시간 근무 30분 휴게시간 제공 / 8시간 근무 시 1시간 휴게시간 제공</t>
    </r>
    <phoneticPr fontId="1" type="noConversion"/>
  </si>
  <si>
    <t>※ 장비 설치 요청은 최소 1주일 전 신청 부탁드립니다.</t>
    <phoneticPr fontId="1" type="noConversion"/>
  </si>
  <si>
    <t>※ 현장 매니저(CS응대 / 재발권 / 좌석 할당 변경 등) 구인 요청은 최소 공연일 기준 2주 전 요청 부탁드립니다.</t>
    <phoneticPr fontId="1" type="noConversion"/>
  </si>
  <si>
    <t>※ 현장 판매 / 교부 인력이 현장에서 이외 업무를 수행해야할 경우(증정품 증정, 손목밴드 배부 등) 사전 공유 부탁드립니다.</t>
    <phoneticPr fontId="1" type="noConversion"/>
  </si>
  <si>
    <t xml:space="preserve">※ 인력비용은 근무시간, 근무장소에 따라 위 안내드린 인건비 산정 기준과 차이가 있을 수 있으므로 사전 협의부탁드립니다. </t>
    <phoneticPr fontId="1" type="noConversion"/>
  </si>
  <si>
    <t>※ 요청이 늦어지거나 누락되는 부분으로 인하여 인력 구인이 불가할 수 있는 점 양해 부탁드립니다.</t>
    <phoneticPr fontId="1" type="noConversion"/>
  </si>
  <si>
    <t>배너 제작용 편집 가능한 파일
영업일 기준 오픈 3일 전 전달 부탁드립니다</t>
    <phoneticPr fontId="1" type="noConversion"/>
  </si>
  <si>
    <t>식대</t>
    <phoneticPr fontId="1" type="noConversion"/>
  </si>
  <si>
    <t>6시간 이상 근무 시 식사 제공 권장</t>
    <phoneticPr fontId="1" type="noConversion"/>
  </si>
  <si>
    <t>(전달사항)</t>
    <phoneticPr fontId="1" type="noConversion"/>
  </si>
  <si>
    <t>%</t>
  </si>
  <si>
    <t>1인  N매</t>
    <phoneticPr fontId="1" type="noConversion"/>
  </si>
  <si>
    <t>검색키워드</t>
    <phoneticPr fontId="1" type="noConversion"/>
  </si>
  <si>
    <t>장르선택</t>
    <phoneticPr fontId="1" type="noConversion"/>
  </si>
  <si>
    <t>주차가능여부</t>
    <phoneticPr fontId="1" type="noConversion"/>
  </si>
  <si>
    <t>주차 비용</t>
    <phoneticPr fontId="1" type="noConversion"/>
  </si>
  <si>
    <t>무통장 입금</t>
    <phoneticPr fontId="1" type="noConversion"/>
  </si>
  <si>
    <t>현장 채널 명</t>
    <phoneticPr fontId="1" type="noConversion"/>
  </si>
  <si>
    <t>상품노출일시</t>
    <phoneticPr fontId="1" type="noConversion"/>
  </si>
  <si>
    <t>선발권 / 초대권 / 교환권</t>
    <phoneticPr fontId="1" type="noConversion"/>
  </si>
  <si>
    <t xml:space="preserve">일시: </t>
    <phoneticPr fontId="1" type="noConversion"/>
  </si>
  <si>
    <t xml:space="preserve"> </t>
    <phoneticPr fontId="1" type="noConversion"/>
  </si>
  <si>
    <t xml:space="preserve">  공연명(영문): </t>
    <phoneticPr fontId="1" type="noConversion"/>
  </si>
  <si>
    <t xml:space="preserve">  공연장명(영문): </t>
    <phoneticPr fontId="1" type="noConversion"/>
  </si>
  <si>
    <t xml:space="preserve">  권종명(영문): </t>
    <phoneticPr fontId="1" type="noConversion"/>
  </si>
  <si>
    <t>가능 시 주차비 상세기재</t>
    <phoneticPr fontId="1" type="noConversion"/>
  </si>
  <si>
    <t>공연 시간</t>
    <phoneticPr fontId="1" type="noConversion"/>
  </si>
  <si>
    <t>공연 장소명 (+주소)</t>
    <phoneticPr fontId="1" type="noConversion"/>
  </si>
  <si>
    <t>장르</t>
    <phoneticPr fontId="1" type="noConversion"/>
  </si>
  <si>
    <t>유료회원 할인</t>
    <phoneticPr fontId="1" type="noConversion"/>
  </si>
  <si>
    <t>페이코 VIP</t>
    <phoneticPr fontId="1" type="noConversion"/>
  </si>
  <si>
    <t xml:space="preserve">인력 요청 : 공연일 1주일 전 / 장비 설치 요청 : 공연일 2주전
양식 내 5번 시트 세부사항 기재 必 </t>
    <phoneticPr fontId="1" type="noConversion"/>
  </si>
  <si>
    <r>
      <t xml:space="preserve">티켓링크 선오픈
</t>
    </r>
    <r>
      <rPr>
        <sz val="9"/>
        <rFont val="맑은 고딕"/>
        <family val="3"/>
        <charset val="129"/>
        <scheme val="minor"/>
      </rPr>
      <t>(오픈시간 기재)</t>
    </r>
    <phoneticPr fontId="1" type="noConversion"/>
  </si>
  <si>
    <r>
      <t xml:space="preserve">일반 오픈
</t>
    </r>
    <r>
      <rPr>
        <sz val="9"/>
        <rFont val="맑은 고딕"/>
        <family val="3"/>
        <charset val="129"/>
        <scheme val="minor"/>
      </rPr>
      <t>(오픈시간 기재)</t>
    </r>
    <phoneticPr fontId="1" type="noConversion"/>
  </si>
  <si>
    <t>티켓오픈 일정</t>
    <phoneticPr fontId="1" type="noConversion"/>
  </si>
  <si>
    <t>공지사항 노출 일정</t>
    <phoneticPr fontId="1" type="noConversion"/>
  </si>
  <si>
    <t>영문 예매 페이지
사용 시</t>
    <phoneticPr fontId="1" type="noConversion"/>
  </si>
  <si>
    <t>무통장 입금 사용 시 
기간 설정</t>
    <phoneticPr fontId="1" type="noConversion"/>
  </si>
  <si>
    <t>모바일 티켓 사용 시</t>
    <phoneticPr fontId="1" type="noConversion"/>
  </si>
  <si>
    <t>스마트 티켓 사용 시</t>
    <phoneticPr fontId="1" type="noConversion"/>
  </si>
  <si>
    <t>목록이미지(128*70)
티켓이미지(612*336)</t>
    <phoneticPr fontId="1" type="noConversion"/>
  </si>
  <si>
    <t>200*247</t>
    <phoneticPr fontId="1" type="noConversion"/>
  </si>
  <si>
    <t>600*368</t>
    <phoneticPr fontId="1" type="noConversion"/>
  </si>
  <si>
    <t>762*제한없음</t>
    <phoneticPr fontId="1" type="noConversion"/>
  </si>
  <si>
    <t>포스터 내 전화번호
(티켓링크 고객센터 번호 포함) 노출 불가</t>
    <phoneticPr fontId="1" type="noConversion"/>
  </si>
  <si>
    <t>글로벌 예매 페이지
(영/중/일)</t>
    <phoneticPr fontId="1" type="noConversion"/>
  </si>
  <si>
    <t>720*890</t>
    <phoneticPr fontId="1" type="noConversion"/>
  </si>
  <si>
    <t>작성일 : 2026.06.24</t>
    <phoneticPr fontId="1" type="noConversion"/>
  </si>
  <si>
    <t>초등학생</t>
    <phoneticPr fontId="1" type="noConversion"/>
  </si>
  <si>
    <t>GS칼텍스 예울마루 대극장</t>
    <phoneticPr fontId="1" type="noConversion"/>
  </si>
  <si>
    <t>2026년 9월 2일 목요일 17시</t>
    <phoneticPr fontId="1" type="noConversion"/>
  </si>
  <si>
    <t>R</t>
    <phoneticPr fontId="1" type="noConversion"/>
  </si>
  <si>
    <t>OP</t>
    <phoneticPr fontId="1" type="noConversion"/>
  </si>
  <si>
    <t>휠체어</t>
    <phoneticPr fontId="1" type="noConversion"/>
  </si>
  <si>
    <t>유보석</t>
    <phoneticPr fontId="1" type="noConversion"/>
  </si>
  <si>
    <t>미오픈</t>
    <phoneticPr fontId="1" type="noConversion"/>
  </si>
  <si>
    <t xml:space="preserve">   ▣ 주최/기획: GS칼텍스 예울마루/GS칼텍스 예울마루</t>
    <phoneticPr fontId="1" type="noConversion"/>
  </si>
  <si>
    <t xml:space="preserve">   ▣ 고객문의 : 1544-7669(GS칼텍스 예울마루 대표전화)</t>
    <phoneticPr fontId="1" type="noConversion"/>
  </si>
  <si>
    <t xml:space="preserve">   ▣ 주최 : GS칼텍스 예울마루</t>
    <phoneticPr fontId="1" type="noConversion"/>
  </si>
  <si>
    <t xml:space="preserve">   ▣ 주관 : GS칼텍스 예울마루</t>
    <phoneticPr fontId="1" type="noConversion"/>
  </si>
  <si>
    <t xml:space="preserve">   ▣ 문의 : 1544-7669</t>
    <phoneticPr fontId="1" type="noConversion"/>
  </si>
  <si>
    <t>GS칼텍스 예울마루</t>
    <phoneticPr fontId="1" type="noConversion"/>
  </si>
  <si>
    <t>박필규</t>
    <phoneticPr fontId="1" type="noConversion"/>
  </si>
  <si>
    <t>417-82-06101</t>
    <phoneticPr fontId="1" type="noConversion"/>
  </si>
  <si>
    <t>박은필</t>
    <phoneticPr fontId="1" type="noConversion"/>
  </si>
  <si>
    <t>강명희</t>
    <phoneticPr fontId="1" type="noConversion"/>
  </si>
  <si>
    <t/>
    <phoneticPr fontId="1" type="noConversion"/>
  </si>
  <si>
    <t/>
    <phoneticPr fontId="1" type="noConversion"/>
  </si>
  <si>
    <t/>
    <phoneticPr fontId="1" type="noConversion"/>
  </si>
  <si>
    <t/>
    <phoneticPr fontId="1" type="noConversion"/>
  </si>
  <si>
    <t>우리은행</t>
    <phoneticPr fontId="1" type="noConversion"/>
  </si>
  <si>
    <t>기 계약 내용에 따름</t>
    <phoneticPr fontId="1" type="noConversion"/>
  </si>
  <si>
    <t>전남 여수시 예울마루로 100</t>
    <phoneticPr fontId="1" type="noConversion"/>
  </si>
  <si>
    <t>계약 내용에 따름</t>
    <phoneticPr fontId="1" type="noConversion"/>
  </si>
  <si>
    <t/>
    <phoneticPr fontId="1" type="noConversion"/>
  </si>
  <si>
    <t/>
    <phoneticPr fontId="1" type="noConversion"/>
  </si>
  <si>
    <t/>
    <phoneticPr fontId="1" type="noConversion"/>
  </si>
  <si>
    <t>조재혁 피아노 리사이틀</t>
    <phoneticPr fontId="1" type="noConversion"/>
  </si>
  <si>
    <t>2026 년  9 월  12 일(토 요일) ~ 2026 년  9 월  12 일(토 요일)</t>
    <phoneticPr fontId="1" type="noConversion"/>
  </si>
  <si>
    <t>약 120</t>
    <phoneticPr fontId="1" type="noConversion"/>
  </si>
  <si>
    <t xml:space="preserve">   ▣ 출연 : 피아니스트 조재혁</t>
    <phoneticPr fontId="1" type="noConversion"/>
  </si>
  <si>
    <t>일반석</t>
    <phoneticPr fontId="1" type="noConversion"/>
  </si>
  <si>
    <t>S</t>
    <phoneticPr fontId="1" type="noConversion"/>
  </si>
  <si>
    <t>좌석배치도에 따름(1층)</t>
    <phoneticPr fontId="1" type="noConversion"/>
  </si>
  <si>
    <t>홀딩</t>
    <phoneticPr fontId="1" type="noConversion"/>
  </si>
  <si>
    <t>가격 정책에 따름</t>
    <phoneticPr fontId="1" type="noConversion"/>
  </si>
  <si>
    <t xml:space="preserve"> ◎ 티켓 가격 : R석 6만원, S석 4만원</t>
    <phoneticPr fontId="1" type="noConversion"/>
  </si>
  <si>
    <t/>
    <phoneticPr fontId="1" type="noConversion"/>
  </si>
  <si>
    <t>2026. 7. 8. (수) 16:00</t>
    <phoneticPr fontId="1" type="noConversion"/>
  </si>
  <si>
    <t>해당 없음</t>
    <phoneticPr fontId="1" type="noConversion"/>
  </si>
  <si>
    <t xml:space="preserve">  2026. 7. 8(수) 10:00</t>
    <phoneticPr fontId="1" type="noConversion"/>
  </si>
  <si>
    <t>능숙함과 눈부신 테크닉, 오직 그만의 구밈없는 진실한 음악이 선사하는 음반 발매 기념, 모차르트 클래식
조재혁 피아노 리사이틀을 예울마루에서 선보인다.
감성과 지성을 겸비한 흠잡을 데 없는 테크닉과 구성력, 뛰어난 통찰력과 과장없는 섬세함으로 완성도의 극치를 추구하는 매력적인 연주자, '조재혁'. 그가 모차르트의 피아노 소나타 2집 앨범 발표를 기념한 리사이틀을 9월, 여수 GS칼텍스 예울마루에서 선보인다.
올해 모차르트 탄생 270주년 맞아 선보이는, 피아노 소나타 전곡(18곡) 앨범 시리즈의 일환으로, 그의 연주를 듣는 모든이로 하여금 모차르트의 자유로우면서도 명료한 선율안에 담긴, 인간의 다채로운 감정을 경험하게 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</si>
</sst>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 "/>
  </numFmts>
  <fonts count="36" x14ac:knownFonts="1">
    <font>
      <sz val="11"/>
      <color theme="1"/>
      <name val="맑은 고딕"/>
      <family val="2"/>
      <charset val="129"/>
      <scheme val="minor"/>
    </font>
    <font>
      <sz val="8"/>
      <name val="맑은 고딕"/>
      <family val="2"/>
      <charset val="129"/>
      <scheme val="minor"/>
    </font>
    <font>
      <b/>
      <sz val="20"/>
      <name val="맑은 고딕"/>
      <family val="3"/>
      <charset val="129"/>
      <scheme val="minor"/>
    </font>
    <font>
      <sz val="11"/>
      <color theme="1"/>
      <name val="맑은 고딕"/>
      <family val="3"/>
      <charset val="129"/>
      <scheme val="minor"/>
    </font>
    <font>
      <b/>
      <sz val="12"/>
      <name val="맑은 고딕"/>
      <family val="3"/>
      <charset val="129"/>
      <scheme val="minor"/>
    </font>
    <font>
      <b/>
      <sz val="10"/>
      <name val="맑은 고딕"/>
      <family val="3"/>
      <charset val="129"/>
      <scheme val="minor"/>
    </font>
    <font>
      <b/>
      <sz val="9"/>
      <name val="맑은 고딕"/>
      <family val="3"/>
      <charset val="129"/>
      <scheme val="minor"/>
    </font>
    <font>
      <sz val="10"/>
      <color theme="1"/>
      <name val="맑은 고딕"/>
      <family val="3"/>
      <charset val="129"/>
      <scheme val="minor"/>
    </font>
    <font>
      <sz val="9"/>
      <color rgb="FF000000"/>
      <name val="굴림"/>
      <family val="3"/>
      <charset val="129"/>
    </font>
    <font>
      <sz val="11"/>
      <color theme="1"/>
      <name val="맑은 고딕"/>
      <family val="2"/>
      <charset val="129"/>
      <scheme val="minor"/>
    </font>
    <font>
      <sz val="10"/>
      <name val="맑은 고딕"/>
      <family val="3"/>
      <charset val="129"/>
      <scheme val="minor"/>
    </font>
    <font>
      <b/>
      <sz val="10"/>
      <color rgb="FFFF0000"/>
      <name val="맑은 고딕"/>
      <family val="3"/>
      <charset val="129"/>
      <scheme val="minor"/>
    </font>
    <font>
      <sz val="10"/>
      <color rgb="FFFF0000"/>
      <name val="맑은 고딕"/>
      <family val="3"/>
      <charset val="129"/>
      <scheme val="minor"/>
    </font>
    <font>
      <sz val="10"/>
      <color rgb="FF0000FF"/>
      <name val="맑은 고딕"/>
      <family val="3"/>
      <charset val="129"/>
      <scheme val="minor"/>
    </font>
    <font>
      <sz val="9"/>
      <name val="맑은 고딕"/>
      <family val="3"/>
      <charset val="129"/>
      <scheme val="minor"/>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sz val="8"/>
      <name val="맑은 고딕"/>
      <family val="3"/>
      <charset val="129"/>
      <scheme val="minor"/>
    </font>
    <font>
      <b/>
      <sz val="11"/>
      <color theme="1"/>
      <name val="맑은 고딕"/>
      <family val="3"/>
      <charset val="129"/>
      <scheme val="minor"/>
    </font>
    <font>
      <u/>
      <sz val="11"/>
      <color theme="10"/>
      <name val="맑은 고딕"/>
      <family val="2"/>
      <charset val="129"/>
      <scheme val="minor"/>
    </font>
    <font>
      <b/>
      <sz val="9"/>
      <color indexed="81"/>
      <name val="나눔고딕"/>
      <family val="3"/>
      <charset val="129"/>
    </font>
    <font>
      <sz val="9"/>
      <color indexed="81"/>
      <name val="나눔고딕"/>
      <family val="3"/>
      <charset val="129"/>
    </font>
    <font>
      <b/>
      <sz val="10"/>
      <name val="맑은 고딕"/>
      <family val="3"/>
      <charset val="129"/>
    </font>
    <font>
      <sz val="8"/>
      <name val="돋움"/>
      <family val="3"/>
      <charset val="129"/>
    </font>
    <font>
      <sz val="10"/>
      <color theme="0" tint="-0.34998626667073579"/>
      <name val="맑은 고딕"/>
      <family val="3"/>
      <charset val="129"/>
      <scheme val="minor"/>
    </font>
    <font>
      <b/>
      <sz val="8"/>
      <name val="맑은 고딕"/>
      <family val="3"/>
      <charset val="129"/>
      <scheme val="minor"/>
    </font>
    <font>
      <b/>
      <sz val="6"/>
      <name val="맑은 고딕"/>
      <family val="3"/>
      <charset val="129"/>
      <scheme val="minor"/>
    </font>
    <font>
      <sz val="6"/>
      <color theme="0" tint="-0.34998626667073579"/>
      <name val="맑은 고딕"/>
      <family val="3"/>
      <charset val="129"/>
      <scheme val="minor"/>
    </font>
    <font>
      <i/>
      <u/>
      <sz val="8"/>
      <name val="맑은 고딕"/>
      <family val="3"/>
      <charset val="129"/>
      <scheme val="minor"/>
    </font>
    <font>
      <sz val="8"/>
      <color theme="1"/>
      <name val="맑은 고딕"/>
      <family val="3"/>
      <charset val="129"/>
      <scheme val="minor"/>
    </font>
    <font>
      <sz val="8"/>
      <color theme="0" tint="-0.249977111117893"/>
      <name val="맑은 고딕"/>
      <family val="3"/>
      <charset val="129"/>
      <scheme val="minor"/>
    </font>
    <font>
      <i/>
      <sz val="10"/>
      <color theme="0" tint="-0.249977111117893"/>
      <name val="맑은 고딕"/>
      <family val="3"/>
      <charset val="129"/>
      <scheme val="minor"/>
    </font>
    <font>
      <sz val="11"/>
      <color rgb="FF000000"/>
      <name val="돋움"/>
      <family val="3"/>
      <charset val="129"/>
    </font>
    <font>
      <b/>
      <sz val="8"/>
      <color theme="0" tint="-0.34998626667073579"/>
      <name val="맑은 고딕"/>
      <family val="3"/>
      <charset val="129"/>
      <scheme val="minor"/>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9.9948118533890809E-2"/>
        <bgColor indexed="64"/>
      </patternFill>
    </fill>
    <fill>
      <patternFill patternType="solid">
        <fgColor theme="0" tint="-0.14999847407452621"/>
        <bgColor indexed="64"/>
      </patternFill>
    </fill>
  </fills>
  <borders count="72">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theme="1"/>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right style="medium">
        <color theme="1"/>
      </right>
      <top style="thin">
        <color theme="1"/>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right style="medium">
        <color theme="1"/>
      </right>
      <top style="thin">
        <color indexed="64"/>
      </top>
      <bottom style="thin">
        <color theme="1"/>
      </bottom>
      <diagonal/>
    </border>
    <border>
      <left/>
      <right/>
      <top style="thin">
        <color theme="1"/>
      </top>
      <bottom/>
      <diagonal/>
    </border>
    <border>
      <left style="thin">
        <color theme="1"/>
      </left>
      <right/>
      <top style="thin">
        <color theme="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thin">
        <color indexed="64"/>
      </top>
      <bottom/>
      <diagonal/>
    </border>
  </borders>
  <cellStyleXfs count="3">
    <xf numFmtId="0" fontId="0" fillId="0" borderId="0">
      <alignment vertical="center"/>
    </xf>
    <xf numFmtId="41" fontId="9"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351">
    <xf numFmtId="0" fontId="0" fillId="0" borderId="0" xfId="0">
      <alignment vertical="center"/>
    </xf>
    <xf numFmtId="0" fontId="3" fillId="0" borderId="0" xfId="0" applyFont="1">
      <alignment vertical="center"/>
    </xf>
    <xf numFmtId="0" fontId="7" fillId="0" borderId="0" xfId="0" applyFont="1" applyAlignment="1">
      <alignment vertical="center" wrapText="1"/>
    </xf>
    <xf numFmtId="0" fontId="10" fillId="3" borderId="14" xfId="0" applyFont="1" applyFill="1" applyBorder="1" applyAlignment="1">
      <alignment vertical="center" shrinkToFit="1"/>
    </xf>
    <xf numFmtId="0" fontId="10" fillId="3" borderId="22" xfId="0" applyFont="1" applyFill="1" applyBorder="1" applyAlignment="1">
      <alignment vertical="center" shrinkToFit="1"/>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24" xfId="0" applyFont="1" applyBorder="1" applyAlignment="1">
      <alignment horizontal="center" vertical="center"/>
    </xf>
    <xf numFmtId="0" fontId="10" fillId="3" borderId="14" xfId="0" applyFont="1" applyFill="1" applyBorder="1" applyAlignment="1">
      <alignment vertical="center" wrapText="1"/>
    </xf>
    <xf numFmtId="0" fontId="10" fillId="3" borderId="22" xfId="0" applyFont="1" applyFill="1" applyBorder="1" applyAlignment="1">
      <alignment vertical="center" wrapText="1"/>
    </xf>
    <xf numFmtId="0" fontId="5" fillId="0" borderId="21" xfId="0" applyFont="1" applyBorder="1" applyAlignment="1">
      <alignment horizontal="center" vertical="center" wrapText="1"/>
    </xf>
    <xf numFmtId="0" fontId="5" fillId="0" borderId="4" xfId="0" applyFont="1" applyBorder="1" applyAlignment="1">
      <alignment horizontal="center" vertical="center" wrapText="1"/>
    </xf>
    <xf numFmtId="0" fontId="5" fillId="5" borderId="4" xfId="0" applyFont="1" applyFill="1" applyBorder="1" applyAlignment="1">
      <alignment horizontal="center" vertical="center" shrinkToFit="1"/>
    </xf>
    <xf numFmtId="0" fontId="5" fillId="5" borderId="19" xfId="0" applyFont="1" applyFill="1" applyBorder="1" applyAlignment="1">
      <alignment horizontal="center" vertical="center" shrinkToFit="1"/>
    </xf>
    <xf numFmtId="0" fontId="11" fillId="0" borderId="4"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9" xfId="0" applyFont="1" applyBorder="1" applyAlignment="1">
      <alignment horizontal="center" vertical="center" wrapText="1"/>
    </xf>
    <xf numFmtId="0" fontId="7" fillId="0" borderId="0" xfId="0" applyFont="1">
      <alignment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shrinkToFit="1"/>
    </xf>
    <xf numFmtId="0" fontId="5" fillId="2" borderId="0" xfId="0" applyFont="1" applyFill="1" applyAlignment="1">
      <alignment horizontal="center" vertical="center" shrinkToFit="1"/>
    </xf>
    <xf numFmtId="0" fontId="10" fillId="2" borderId="0" xfId="0" applyFont="1" applyFill="1" applyAlignment="1">
      <alignment vertical="center" shrinkToFit="1"/>
    </xf>
    <xf numFmtId="0" fontId="12" fillId="0" borderId="0" xfId="0" applyFont="1" applyAlignment="1">
      <alignment horizontal="left" vertical="center" wrapText="1"/>
    </xf>
    <xf numFmtId="0" fontId="10" fillId="3" borderId="14" xfId="0" applyFont="1" applyFill="1" applyBorder="1" applyAlignment="1">
      <alignment horizontal="right" vertical="center" shrinkToFit="1"/>
    </xf>
    <xf numFmtId="0" fontId="4" fillId="0" borderId="5" xfId="0" applyFont="1" applyBorder="1">
      <alignment vertical="center"/>
    </xf>
    <xf numFmtId="0" fontId="5" fillId="3" borderId="14" xfId="0" applyFont="1" applyFill="1" applyBorder="1" applyAlignment="1">
      <alignment horizontal="left" vertical="center" shrinkToFit="1"/>
    </xf>
    <xf numFmtId="0" fontId="10" fillId="0" borderId="6"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22" xfId="0" applyFont="1" applyBorder="1" applyAlignment="1">
      <alignment horizontal="center" vertical="center" shrinkToFit="1"/>
    </xf>
    <xf numFmtId="0" fontId="3" fillId="0" borderId="0" xfId="0" quotePrefix="1" applyFont="1">
      <alignment vertical="center"/>
    </xf>
    <xf numFmtId="41" fontId="10" fillId="0" borderId="7" xfId="1" applyFont="1" applyBorder="1" applyAlignment="1">
      <alignment vertical="center" wrapText="1"/>
    </xf>
    <xf numFmtId="0" fontId="10" fillId="2" borderId="7" xfId="0" applyFont="1" applyFill="1" applyBorder="1" applyAlignment="1">
      <alignment vertical="center" wrapText="1"/>
    </xf>
    <xf numFmtId="0" fontId="0" fillId="0" borderId="4" xfId="0" applyBorder="1">
      <alignment vertical="center"/>
    </xf>
    <xf numFmtId="0" fontId="20" fillId="4" borderId="4" xfId="0" applyFont="1" applyFill="1" applyBorder="1" applyAlignment="1">
      <alignment horizontal="center" vertical="center"/>
    </xf>
    <xf numFmtId="0" fontId="0" fillId="0" borderId="7" xfId="0" applyBorder="1">
      <alignment vertical="center"/>
    </xf>
    <xf numFmtId="0" fontId="0" fillId="0" borderId="6" xfId="0" applyBorder="1" applyAlignment="1">
      <alignment horizontal="right" vertical="center"/>
    </xf>
    <xf numFmtId="0" fontId="0" fillId="0" borderId="4" xfId="0" applyBorder="1" applyAlignment="1">
      <alignment horizontal="right" vertical="center"/>
    </xf>
    <xf numFmtId="41" fontId="0" fillId="0" borderId="4" xfId="1" applyFont="1" applyBorder="1">
      <alignment vertical="center"/>
    </xf>
    <xf numFmtId="0" fontId="10" fillId="0" borderId="14" xfId="0" applyFont="1" applyBorder="1" applyAlignment="1">
      <alignment vertical="center" shrinkToFit="1"/>
    </xf>
    <xf numFmtId="0" fontId="10" fillId="0" borderId="7" xfId="0" applyFont="1" applyBorder="1" applyAlignment="1">
      <alignment vertical="center" shrinkToFit="1"/>
    </xf>
    <xf numFmtId="0" fontId="10" fillId="0" borderId="6" xfId="0" applyFont="1" applyBorder="1" applyAlignment="1">
      <alignment horizontal="right" vertical="center" shrinkToFit="1"/>
    </xf>
    <xf numFmtId="0" fontId="5" fillId="0" borderId="6" xfId="0" applyFont="1" applyBorder="1" applyAlignment="1">
      <alignment horizontal="center" vertical="center" shrinkToFit="1"/>
    </xf>
    <xf numFmtId="0" fontId="10" fillId="2" borderId="6" xfId="0" applyFont="1" applyFill="1" applyBorder="1" applyAlignment="1">
      <alignment horizontal="right" vertical="center" shrinkToFit="1"/>
    </xf>
    <xf numFmtId="0" fontId="10" fillId="2" borderId="14" xfId="0" applyFont="1" applyFill="1" applyBorder="1" applyAlignment="1">
      <alignment horizontal="center" vertical="center" shrinkToFit="1"/>
    </xf>
    <xf numFmtId="0" fontId="10" fillId="2" borderId="14" xfId="0" applyFont="1" applyFill="1" applyBorder="1" applyAlignment="1">
      <alignment horizontal="left" vertical="center" shrinkToFit="1"/>
    </xf>
    <xf numFmtId="0" fontId="10" fillId="2" borderId="7" xfId="0" applyFont="1" applyFill="1" applyBorder="1" applyAlignment="1">
      <alignment horizontal="left" vertical="center" shrinkToFit="1"/>
    </xf>
    <xf numFmtId="0" fontId="4" fillId="2" borderId="0" xfId="0" applyFont="1" applyFill="1" applyAlignment="1">
      <alignment horizontal="center" vertical="center" wrapText="1"/>
    </xf>
    <xf numFmtId="0" fontId="20" fillId="0" borderId="0" xfId="0" applyFont="1">
      <alignment vertical="center"/>
    </xf>
    <xf numFmtId="0" fontId="5" fillId="5" borderId="42" xfId="0" applyFont="1" applyFill="1" applyBorder="1" applyAlignment="1">
      <alignment horizontal="center" vertical="center" wrapText="1"/>
    </xf>
    <xf numFmtId="0" fontId="11" fillId="0" borderId="4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44" xfId="0" applyFont="1" applyBorder="1" applyAlignment="1">
      <alignment horizontal="center" vertical="center" wrapText="1"/>
    </xf>
    <xf numFmtId="0" fontId="10" fillId="0" borderId="4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10" fillId="3" borderId="6" xfId="0" applyFont="1" applyFill="1" applyBorder="1" applyAlignment="1">
      <alignment vertical="center" wrapText="1"/>
    </xf>
    <xf numFmtId="0" fontId="10" fillId="3" borderId="19" xfId="0" applyFont="1" applyFill="1" applyBorder="1" applyAlignment="1">
      <alignment horizontal="center" vertical="center" wrapText="1"/>
    </xf>
    <xf numFmtId="0" fontId="5" fillId="0" borderId="53" xfId="0" applyFont="1" applyBorder="1" applyAlignment="1">
      <alignment horizontal="center" vertical="center" wrapText="1"/>
    </xf>
    <xf numFmtId="0" fontId="5" fillId="0" borderId="18" xfId="0" applyFont="1" applyBorder="1" applyAlignment="1">
      <alignment horizontal="center" vertical="center" wrapText="1"/>
    </xf>
    <xf numFmtId="0" fontId="10" fillId="0" borderId="71" xfId="0" applyFont="1" applyBorder="1" applyAlignment="1">
      <alignment horizontal="center" vertical="center" wrapText="1"/>
    </xf>
    <xf numFmtId="0" fontId="12" fillId="0" borderId="0" xfId="0" applyFont="1" applyAlignment="1">
      <alignment horizontal="left"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5" fillId="3" borderId="6"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6" xfId="2" applyFont="1" applyFill="1" applyBorder="1" applyAlignment="1">
      <alignment horizontal="center" vertical="center" wrapText="1"/>
    </xf>
    <xf numFmtId="0" fontId="5" fillId="3" borderId="5" xfId="2"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5" fillId="0" borderId="11" xfId="0" applyFont="1" applyBorder="1" applyAlignment="1">
      <alignment horizontal="center" vertical="center" wrapText="1"/>
    </xf>
    <xf numFmtId="0" fontId="10" fillId="0" borderId="6" xfId="0" applyFont="1" applyBorder="1" applyAlignment="1">
      <alignment horizontal="left" vertical="center" wrapText="1"/>
    </xf>
    <xf numFmtId="0" fontId="10" fillId="0" borderId="14" xfId="0" applyFont="1" applyBorder="1" applyAlignment="1">
      <alignment horizontal="left" vertical="center" wrapText="1"/>
    </xf>
    <xf numFmtId="0" fontId="10" fillId="0" borderId="22" xfId="0" applyFont="1" applyBorder="1" applyAlignment="1">
      <alignment horizontal="left" vertical="center" wrapText="1"/>
    </xf>
    <xf numFmtId="0" fontId="10" fillId="0" borderId="8" xfId="0" applyFont="1" applyBorder="1" applyAlignment="1">
      <alignment horizontal="left" vertical="center" wrapText="1"/>
    </xf>
    <xf numFmtId="0" fontId="10" fillId="0" borderId="15" xfId="0" applyFont="1" applyBorder="1" applyAlignment="1">
      <alignment horizontal="left" vertical="center" wrapText="1"/>
    </xf>
    <xf numFmtId="0" fontId="10" fillId="0" borderId="21" xfId="0" applyFont="1" applyBorder="1" applyAlignment="1">
      <alignment horizontal="left" vertical="center" wrapText="1"/>
    </xf>
    <xf numFmtId="0" fontId="6" fillId="0" borderId="6"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7" xfId="0" applyFont="1" applyBorder="1" applyAlignment="1">
      <alignment horizontal="center" vertical="center" wrapText="1"/>
    </xf>
    <xf numFmtId="0" fontId="19" fillId="0" borderId="14" xfId="0" applyFont="1" applyBorder="1" applyAlignment="1">
      <alignment horizontal="left" vertical="center" wrapText="1" shrinkToFit="1"/>
    </xf>
    <xf numFmtId="0" fontId="19" fillId="0" borderId="7" xfId="0" applyFont="1" applyBorder="1" applyAlignment="1">
      <alignment horizontal="left" vertical="center" wrapText="1" shrinkToFit="1"/>
    </xf>
    <xf numFmtId="176" fontId="10" fillId="0" borderId="6" xfId="0" applyNumberFormat="1" applyFont="1" applyBorder="1" applyAlignment="1">
      <alignment horizontal="center" vertical="center" shrinkToFit="1"/>
    </xf>
    <xf numFmtId="176" fontId="10" fillId="0" borderId="14" xfId="0" applyNumberFormat="1" applyFont="1" applyBorder="1" applyAlignment="1">
      <alignment horizontal="center" vertical="center" shrinkToFit="1"/>
    </xf>
    <xf numFmtId="0" fontId="10" fillId="2" borderId="6" xfId="0" applyFont="1" applyFill="1" applyBorder="1" applyAlignment="1">
      <alignment horizontal="right" vertical="center" wrapText="1"/>
    </xf>
    <xf numFmtId="0" fontId="10" fillId="2" borderId="14" xfId="0" applyFont="1" applyFill="1" applyBorder="1" applyAlignment="1">
      <alignment horizontal="right" vertical="center" wrapText="1"/>
    </xf>
    <xf numFmtId="0" fontId="5" fillId="3" borderId="41" xfId="2" applyFont="1" applyFill="1" applyBorder="1" applyAlignment="1">
      <alignment horizontal="center" vertical="center" wrapText="1"/>
    </xf>
    <xf numFmtId="0" fontId="5" fillId="3" borderId="33" xfId="2" applyFont="1" applyFill="1" applyBorder="1" applyAlignment="1">
      <alignment horizontal="center" vertical="center" wrapText="1"/>
    </xf>
    <xf numFmtId="0" fontId="5" fillId="3" borderId="34" xfId="2" applyFont="1" applyFill="1" applyBorder="1" applyAlignment="1">
      <alignment horizontal="center" vertical="center" wrapText="1"/>
    </xf>
    <xf numFmtId="0" fontId="5" fillId="0" borderId="40" xfId="0" applyFont="1" applyBorder="1" applyAlignment="1">
      <alignment horizontal="center" vertical="center" wrapText="1"/>
    </xf>
    <xf numFmtId="0" fontId="5" fillId="0" borderId="5" xfId="0" applyFont="1" applyBorder="1" applyAlignment="1">
      <alignment horizontal="center" vertical="center" wrapText="1"/>
    </xf>
    <xf numFmtId="0" fontId="14" fillId="3" borderId="26" xfId="0" applyFont="1" applyFill="1" applyBorder="1" applyAlignment="1">
      <alignment horizontal="left" vertical="center" wrapText="1" shrinkToFit="1"/>
    </xf>
    <xf numFmtId="0" fontId="14" fillId="3" borderId="27" xfId="0" applyFont="1" applyFill="1" applyBorder="1" applyAlignment="1">
      <alignment horizontal="left" vertical="center" shrinkToFit="1"/>
    </xf>
    <xf numFmtId="0" fontId="14" fillId="3" borderId="28" xfId="0" applyFont="1" applyFill="1" applyBorder="1" applyAlignment="1">
      <alignment horizontal="left" vertical="center" shrinkToFit="1"/>
    </xf>
    <xf numFmtId="0" fontId="10" fillId="3" borderId="26" xfId="0" applyFont="1" applyFill="1" applyBorder="1" applyAlignment="1">
      <alignment horizontal="center" vertical="center" shrinkToFit="1"/>
    </xf>
    <xf numFmtId="0" fontId="10" fillId="3" borderId="27" xfId="0" applyFont="1" applyFill="1" applyBorder="1" applyAlignment="1">
      <alignment horizontal="center" vertical="center" shrinkToFit="1"/>
    </xf>
    <xf numFmtId="0" fontId="10" fillId="3" borderId="29" xfId="0" applyFont="1" applyFill="1" applyBorder="1" applyAlignment="1">
      <alignment horizontal="center" vertical="center" shrinkToFit="1"/>
    </xf>
    <xf numFmtId="0" fontId="10" fillId="3" borderId="6" xfId="0" applyFont="1" applyFill="1" applyBorder="1" applyAlignment="1">
      <alignment horizontal="center" vertical="center" shrinkToFit="1"/>
    </xf>
    <xf numFmtId="0" fontId="10" fillId="3" borderId="14" xfId="0" applyFont="1" applyFill="1" applyBorder="1" applyAlignment="1">
      <alignment horizontal="center" vertical="center" shrinkToFit="1"/>
    </xf>
    <xf numFmtId="0" fontId="10" fillId="3" borderId="22" xfId="0" applyFont="1" applyFill="1" applyBorder="1" applyAlignment="1">
      <alignment horizontal="center" vertical="center" shrinkToFi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10" fillId="0" borderId="6"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22" xfId="0" applyFont="1" applyBorder="1" applyAlignment="1">
      <alignment horizontal="center" vertical="center" shrinkToFit="1"/>
    </xf>
    <xf numFmtId="0" fontId="5" fillId="0" borderId="6" xfId="0" applyFont="1" applyBorder="1" applyAlignment="1">
      <alignment horizontal="center" vertical="center" shrinkToFit="1"/>
    </xf>
    <xf numFmtId="0" fontId="5" fillId="0" borderId="14"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6" xfId="0" applyFont="1" applyBorder="1" applyAlignment="1">
      <alignment horizontal="center" vertical="center" wrapText="1" shrinkToFit="1"/>
    </xf>
    <xf numFmtId="0" fontId="10" fillId="0" borderId="7" xfId="0" applyFont="1" applyBorder="1" applyAlignment="1">
      <alignment horizontal="center" vertical="center" shrinkToFit="1"/>
    </xf>
    <xf numFmtId="0" fontId="10" fillId="0" borderId="14" xfId="0" applyFont="1" applyBorder="1" applyAlignment="1">
      <alignment horizontal="right" vertical="center" shrinkToFit="1"/>
    </xf>
    <xf numFmtId="0" fontId="10" fillId="2" borderId="14" xfId="0" applyFont="1" applyFill="1" applyBorder="1" applyAlignment="1">
      <alignment horizontal="right" vertical="center" shrinkToFit="1"/>
    </xf>
    <xf numFmtId="0" fontId="11" fillId="2" borderId="6" xfId="0" applyFont="1" applyFill="1" applyBorder="1" applyAlignment="1">
      <alignment horizontal="center" vertical="center" shrinkToFit="1"/>
    </xf>
    <xf numFmtId="0" fontId="11" fillId="2" borderId="14" xfId="0" applyFont="1" applyFill="1" applyBorder="1" applyAlignment="1">
      <alignment horizontal="center" vertical="center" shrinkToFit="1"/>
    </xf>
    <xf numFmtId="0" fontId="11" fillId="2" borderId="22" xfId="0" applyFont="1" applyFill="1" applyBorder="1" applyAlignment="1">
      <alignment horizontal="center" vertical="center" shrinkToFit="1"/>
    </xf>
    <xf numFmtId="0" fontId="10" fillId="2" borderId="6" xfId="0" applyFont="1" applyFill="1" applyBorder="1" applyAlignment="1">
      <alignment horizontal="right" vertical="center" shrinkToFit="1"/>
    </xf>
    <xf numFmtId="0" fontId="10" fillId="2" borderId="7" xfId="0" applyFont="1" applyFill="1" applyBorder="1" applyAlignment="1">
      <alignment horizontal="right" vertical="center" shrinkToFit="1"/>
    </xf>
    <xf numFmtId="0" fontId="14" fillId="2" borderId="6" xfId="0" applyFont="1" applyFill="1" applyBorder="1" applyAlignment="1">
      <alignment horizontal="left" vertical="center" wrapText="1" shrinkToFit="1"/>
    </xf>
    <xf numFmtId="0" fontId="14" fillId="2" borderId="14" xfId="0" applyFont="1" applyFill="1" applyBorder="1" applyAlignment="1">
      <alignment horizontal="left" vertical="center" shrinkToFit="1"/>
    </xf>
    <xf numFmtId="0" fontId="14" fillId="2" borderId="22" xfId="0" applyFont="1" applyFill="1" applyBorder="1" applyAlignment="1">
      <alignment horizontal="left" vertical="center" shrinkToFit="1"/>
    </xf>
    <xf numFmtId="0" fontId="10" fillId="2" borderId="22" xfId="0" applyFont="1" applyFill="1" applyBorder="1" applyAlignment="1">
      <alignment horizontal="right" vertical="center" shrinkToFit="1"/>
    </xf>
    <xf numFmtId="0" fontId="7" fillId="0" borderId="0" xfId="0" applyFont="1" applyAlignment="1">
      <alignment horizontal="left" vertical="center" wrapText="1"/>
    </xf>
    <xf numFmtId="0" fontId="10" fillId="3" borderId="7" xfId="0" applyFont="1" applyFill="1" applyBorder="1" applyAlignment="1">
      <alignment horizontal="center" vertical="center" shrinkToFit="1"/>
    </xf>
    <xf numFmtId="0" fontId="21" fillId="3" borderId="8" xfId="2" applyFill="1" applyBorder="1" applyAlignment="1">
      <alignment horizontal="center" vertical="center" shrinkToFit="1"/>
    </xf>
    <xf numFmtId="0" fontId="10" fillId="3" borderId="15" xfId="0" applyFont="1" applyFill="1" applyBorder="1" applyAlignment="1">
      <alignment horizontal="center" vertical="center" shrinkToFit="1"/>
    </xf>
    <xf numFmtId="0" fontId="10" fillId="3" borderId="9" xfId="0" applyFont="1" applyFill="1" applyBorder="1" applyAlignment="1">
      <alignment horizontal="center" vertical="center" shrinkToFit="1"/>
    </xf>
    <xf numFmtId="0" fontId="10" fillId="3" borderId="8" xfId="0" applyFont="1" applyFill="1" applyBorder="1" applyAlignment="1">
      <alignment horizontal="center" vertical="center" shrinkToFit="1"/>
    </xf>
    <xf numFmtId="0" fontId="5" fillId="3" borderId="8" xfId="0" applyFont="1" applyFill="1" applyBorder="1" applyAlignment="1">
      <alignment horizontal="center" vertical="center" shrinkToFit="1"/>
    </xf>
    <xf numFmtId="0" fontId="5" fillId="3" borderId="15" xfId="0" applyFont="1" applyFill="1" applyBorder="1" applyAlignment="1">
      <alignment horizontal="center" vertical="center" shrinkToFit="1"/>
    </xf>
    <xf numFmtId="0" fontId="5" fillId="3" borderId="9" xfId="0" applyFont="1" applyFill="1" applyBorder="1" applyAlignment="1">
      <alignment horizontal="center" vertical="center" shrinkToFit="1"/>
    </xf>
    <xf numFmtId="0" fontId="5" fillId="3" borderId="6" xfId="0" applyFont="1" applyFill="1" applyBorder="1" applyAlignment="1">
      <alignment horizontal="center" vertical="center" shrinkToFit="1"/>
    </xf>
    <xf numFmtId="0" fontId="5" fillId="3" borderId="14" xfId="0" applyFont="1" applyFill="1" applyBorder="1" applyAlignment="1">
      <alignment horizontal="center" vertical="center" shrinkToFit="1"/>
    </xf>
    <xf numFmtId="0" fontId="5" fillId="3" borderId="7" xfId="0" applyFont="1" applyFill="1" applyBorder="1" applyAlignment="1">
      <alignment horizontal="center" vertical="center" shrinkToFit="1"/>
    </xf>
    <xf numFmtId="0" fontId="5" fillId="0" borderId="20" xfId="0" applyFont="1" applyBorder="1" applyAlignment="1">
      <alignment horizontal="center" vertical="center" wrapText="1"/>
    </xf>
    <xf numFmtId="0" fontId="5" fillId="0" borderId="25" xfId="0" applyFont="1" applyBorder="1" applyAlignment="1">
      <alignment horizontal="center" vertical="center" wrapText="1"/>
    </xf>
    <xf numFmtId="0" fontId="5" fillId="2" borderId="10"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1"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0" fillId="2" borderId="12" xfId="0" applyFont="1" applyFill="1" applyBorder="1" applyAlignment="1">
      <alignment horizontal="center" vertical="center" shrinkToFit="1"/>
    </xf>
    <xf numFmtId="0" fontId="10" fillId="2" borderId="5" xfId="0" applyFont="1" applyFill="1" applyBorder="1" applyAlignment="1">
      <alignment horizontal="center" vertical="center" shrinkToFit="1"/>
    </xf>
    <xf numFmtId="0" fontId="10" fillId="2" borderId="17" xfId="0" applyFont="1" applyFill="1" applyBorder="1" applyAlignment="1">
      <alignment horizontal="center" vertical="center" shrinkToFit="1"/>
    </xf>
    <xf numFmtId="0" fontId="5" fillId="3" borderId="18"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13" fillId="0" borderId="0" xfId="0" applyFont="1" applyAlignment="1">
      <alignment horizontal="left" vertical="center" wrapText="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8" xfId="0" applyFont="1" applyFill="1" applyBorder="1" applyAlignment="1">
      <alignment horizontal="center" vertical="center" shrinkToFit="1"/>
    </xf>
    <xf numFmtId="0" fontId="5" fillId="2" borderId="12" xfId="0" applyFont="1" applyFill="1" applyBorder="1" applyAlignment="1">
      <alignment horizontal="center" vertical="center" shrinkToFit="1"/>
    </xf>
    <xf numFmtId="0" fontId="5" fillId="2" borderId="15" xfId="0" applyFont="1" applyFill="1" applyBorder="1" applyAlignment="1">
      <alignment horizontal="center" vertical="center" shrinkToFit="1"/>
    </xf>
    <xf numFmtId="0" fontId="5" fillId="2" borderId="5" xfId="0" applyFont="1" applyFill="1" applyBorder="1" applyAlignment="1">
      <alignment horizontal="center" vertical="center" shrinkToFit="1"/>
    </xf>
    <xf numFmtId="0" fontId="5" fillId="3" borderId="8" xfId="2" applyFont="1" applyFill="1" applyBorder="1" applyAlignment="1">
      <alignment horizontal="center" vertical="center" wrapText="1"/>
    </xf>
    <xf numFmtId="0" fontId="5" fillId="3" borderId="15" xfId="2" applyFont="1" applyFill="1" applyBorder="1" applyAlignment="1">
      <alignment horizontal="center" vertical="center" wrapText="1"/>
    </xf>
    <xf numFmtId="0" fontId="5" fillId="3" borderId="9" xfId="2"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22" xfId="0" applyFont="1" applyFill="1" applyBorder="1" applyAlignment="1">
      <alignment horizontal="center" vertical="center" wrapText="1"/>
    </xf>
    <xf numFmtId="41" fontId="10" fillId="0" borderId="6" xfId="1" applyFont="1" applyBorder="1" applyAlignment="1">
      <alignment horizontal="center" vertical="center" wrapText="1"/>
    </xf>
    <xf numFmtId="41" fontId="10" fillId="0" borderId="14" xfId="1" applyFont="1" applyBorder="1" applyAlignment="1">
      <alignment horizontal="center" vertical="center" wrapText="1"/>
    </xf>
    <xf numFmtId="41" fontId="10" fillId="0" borderId="22" xfId="1" applyFont="1" applyBorder="1" applyAlignment="1">
      <alignment horizontal="center" vertical="center" wrapText="1"/>
    </xf>
    <xf numFmtId="0" fontId="10" fillId="3" borderId="6"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7" xfId="0" applyFont="1" applyFill="1" applyBorder="1" applyAlignment="1">
      <alignment horizontal="center" vertical="center" wrapText="1"/>
    </xf>
    <xf numFmtId="41" fontId="10" fillId="0" borderId="7" xfId="1" applyFont="1" applyBorder="1" applyAlignment="1">
      <alignment horizontal="center" vertical="center" wrapText="1"/>
    </xf>
    <xf numFmtId="0" fontId="10" fillId="0" borderId="6" xfId="0" applyFont="1" applyBorder="1" applyAlignment="1">
      <alignment horizontal="right" vertical="center" wrapText="1"/>
    </xf>
    <xf numFmtId="0" fontId="10" fillId="0" borderId="14" xfId="0" applyFont="1" applyBorder="1" applyAlignment="1">
      <alignment horizontal="right" vertical="center" wrapText="1"/>
    </xf>
    <xf numFmtId="0" fontId="10" fillId="0" borderId="7" xfId="0" applyFont="1" applyBorder="1" applyAlignment="1">
      <alignment horizontal="right" vertical="center" wrapText="1"/>
    </xf>
    <xf numFmtId="0" fontId="5" fillId="3" borderId="8"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1" xfId="0" applyFont="1" applyFill="1" applyBorder="1" applyAlignment="1">
      <alignment horizontal="center" vertical="center" wrapText="1"/>
    </xf>
    <xf numFmtId="0" fontId="5" fillId="3" borderId="4" xfId="0" applyFont="1" applyFill="1" applyBorder="1" applyAlignment="1">
      <alignment horizontal="center" vertical="center" shrinkToFit="1"/>
    </xf>
    <xf numFmtId="0" fontId="5" fillId="3" borderId="19"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5" fillId="3" borderId="6" xfId="0" applyFont="1" applyFill="1" applyBorder="1" applyAlignment="1">
      <alignment horizontal="right" vertical="center" wrapText="1"/>
    </xf>
    <xf numFmtId="0" fontId="5" fillId="3" borderId="14" xfId="0" applyFont="1" applyFill="1" applyBorder="1" applyAlignment="1">
      <alignment horizontal="right" vertical="center" wrapText="1"/>
    </xf>
    <xf numFmtId="0" fontId="5" fillId="3" borderId="14" xfId="0" applyFont="1" applyFill="1" applyBorder="1" applyAlignment="1">
      <alignment horizontal="left" vertical="center" shrinkToFit="1"/>
    </xf>
    <xf numFmtId="0" fontId="5" fillId="3" borderId="22" xfId="0" applyFont="1" applyFill="1" applyBorder="1" applyAlignment="1">
      <alignment horizontal="left" vertical="center" shrinkToFit="1"/>
    </xf>
    <xf numFmtId="0" fontId="5" fillId="3" borderId="13"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10" fillId="3" borderId="6"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4" xfId="0" applyFont="1" applyFill="1" applyBorder="1" applyAlignment="1">
      <alignment horizontal="right" vertical="center" shrinkToFit="1"/>
    </xf>
    <xf numFmtId="0" fontId="10" fillId="3" borderId="7" xfId="0" applyFont="1" applyFill="1" applyBorder="1" applyAlignment="1">
      <alignment horizontal="center" vertical="center" wrapText="1"/>
    </xf>
    <xf numFmtId="20" fontId="10" fillId="3" borderId="6" xfId="0" applyNumberFormat="1" applyFont="1" applyFill="1" applyBorder="1" applyAlignment="1">
      <alignment horizontal="center" vertical="center" wrapText="1"/>
    </xf>
    <xf numFmtId="0" fontId="21" fillId="0" borderId="6" xfId="2" applyBorder="1" applyAlignment="1">
      <alignment horizontal="center" vertical="center" wrapText="1"/>
    </xf>
    <xf numFmtId="0" fontId="5" fillId="0" borderId="14" xfId="0" applyFont="1" applyBorder="1" applyAlignment="1">
      <alignment horizontal="center" vertical="center" wrapText="1"/>
    </xf>
    <xf numFmtId="0" fontId="5" fillId="0" borderId="31" xfId="0" applyFont="1" applyBorder="1" applyAlignment="1">
      <alignment horizontal="center" vertical="center" wrapText="1"/>
    </xf>
    <xf numFmtId="0" fontId="10" fillId="0" borderId="36" xfId="0" applyFont="1" applyBorder="1" applyAlignment="1">
      <alignment horizontal="center" vertical="center" shrinkToFit="1"/>
    </xf>
    <xf numFmtId="0" fontId="10" fillId="0" borderId="37" xfId="0" applyFont="1" applyBorder="1" applyAlignment="1">
      <alignment horizontal="center" vertical="center" shrinkToFit="1"/>
    </xf>
    <xf numFmtId="0" fontId="10" fillId="0" borderId="38" xfId="0" applyFont="1" applyBorder="1" applyAlignment="1">
      <alignment horizontal="center" vertical="center" shrinkToFit="1"/>
    </xf>
    <xf numFmtId="0" fontId="5" fillId="0" borderId="36" xfId="0" applyFont="1" applyBorder="1" applyAlignment="1">
      <alignment horizontal="center" vertical="center" shrinkToFit="1"/>
    </xf>
    <xf numFmtId="0" fontId="5" fillId="0" borderId="37" xfId="0" applyFont="1" applyBorder="1" applyAlignment="1">
      <alignment horizontal="center" vertical="center" shrinkToFit="1"/>
    </xf>
    <xf numFmtId="0" fontId="5" fillId="0" borderId="38" xfId="0" applyFont="1" applyBorder="1" applyAlignment="1">
      <alignment horizontal="center" vertical="center" shrinkToFit="1"/>
    </xf>
    <xf numFmtId="0" fontId="10" fillId="0" borderId="39" xfId="0" applyFont="1" applyBorder="1" applyAlignment="1">
      <alignment horizontal="center" vertical="center" shrinkToFit="1"/>
    </xf>
    <xf numFmtId="0" fontId="5" fillId="3" borderId="22" xfId="0" applyFont="1" applyFill="1" applyBorder="1" applyAlignment="1">
      <alignment horizontal="center" vertical="center" wrapText="1"/>
    </xf>
    <xf numFmtId="0" fontId="21" fillId="0" borderId="14" xfId="2"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10" fillId="0" borderId="31" xfId="0" applyFont="1" applyBorder="1" applyAlignment="1">
      <alignment horizontal="center" vertical="center" shrinkToFit="1"/>
    </xf>
    <xf numFmtId="0" fontId="5" fillId="0" borderId="32"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5"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10" fillId="0" borderId="32" xfId="0" applyFont="1" applyBorder="1" applyAlignment="1">
      <alignment horizontal="center" vertical="center" shrinkToFit="1"/>
    </xf>
    <xf numFmtId="0" fontId="10" fillId="0" borderId="33" xfId="0" applyFont="1" applyBorder="1" applyAlignment="1">
      <alignment horizontal="center" vertical="center" shrinkToFit="1"/>
    </xf>
    <xf numFmtId="0" fontId="10" fillId="0" borderId="34" xfId="0" applyFont="1" applyBorder="1" applyAlignment="1">
      <alignment horizontal="center" vertical="center" shrinkToFit="1"/>
    </xf>
    <xf numFmtId="0" fontId="14" fillId="0" borderId="14" xfId="0" applyFont="1" applyBorder="1" applyAlignment="1">
      <alignment horizontal="left" vertical="center" wrapText="1"/>
    </xf>
    <xf numFmtId="0" fontId="6" fillId="0" borderId="14" xfId="0" applyFont="1" applyBorder="1" applyAlignment="1">
      <alignment horizontal="left" vertical="center" wrapText="1"/>
    </xf>
    <xf numFmtId="0" fontId="6" fillId="0" borderId="7" xfId="0" applyFont="1" applyBorder="1" applyAlignment="1">
      <alignment horizontal="left"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5" fillId="3" borderId="6" xfId="0" applyFont="1" applyFill="1" applyBorder="1" applyAlignment="1">
      <alignment horizontal="left" vertical="center" wrapText="1"/>
    </xf>
    <xf numFmtId="0" fontId="5" fillId="3" borderId="14"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3" borderId="7" xfId="0" applyFont="1" applyFill="1" applyBorder="1" applyAlignment="1">
      <alignment horizontal="left" vertical="center" wrapText="1"/>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24" xfId="0" applyFont="1" applyBorder="1" applyAlignment="1">
      <alignment horizontal="center" vertical="center"/>
    </xf>
    <xf numFmtId="0" fontId="4" fillId="0" borderId="16" xfId="0" applyFont="1" applyBorder="1" applyAlignment="1">
      <alignment horizontal="left" vertical="center"/>
    </xf>
    <xf numFmtId="0" fontId="4" fillId="0" borderId="5" xfId="0" applyFont="1" applyBorder="1" applyAlignment="1">
      <alignment horizontal="left" vertical="center"/>
    </xf>
    <xf numFmtId="0" fontId="4" fillId="0" borderId="17" xfId="0" applyFont="1" applyBorder="1" applyAlignment="1">
      <alignment horizontal="left" vertical="center"/>
    </xf>
    <xf numFmtId="0" fontId="10" fillId="3" borderId="14"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1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35" fillId="3" borderId="15" xfId="0" applyFont="1" applyFill="1" applyBorder="1" applyAlignment="1">
      <alignment horizontal="center" vertical="center" wrapText="1"/>
    </xf>
    <xf numFmtId="0" fontId="35" fillId="3" borderId="21"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14" xfId="0" applyFont="1" applyBorder="1" applyAlignment="1">
      <alignment horizontal="left" vertical="center" wrapText="1"/>
    </xf>
    <xf numFmtId="0" fontId="5" fillId="0" borderId="22" xfId="0" applyFont="1" applyBorder="1" applyAlignment="1">
      <alignment horizontal="left"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9" xfId="0" applyFont="1" applyBorder="1" applyAlignment="1">
      <alignment horizontal="left" vertical="center" wrapText="1"/>
    </xf>
    <xf numFmtId="0" fontId="5" fillId="0" borderId="8" xfId="0" applyFont="1" applyBorder="1" applyAlignment="1">
      <alignment horizontal="left" vertical="center" wrapText="1"/>
    </xf>
    <xf numFmtId="0" fontId="5" fillId="0" borderId="15" xfId="0" applyFont="1" applyBorder="1" applyAlignment="1">
      <alignment horizontal="left" vertical="center" wrapText="1"/>
    </xf>
    <xf numFmtId="0" fontId="5" fillId="0" borderId="21" xfId="0" applyFont="1" applyBorder="1" applyAlignment="1">
      <alignment horizontal="left" vertical="center" wrapText="1"/>
    </xf>
    <xf numFmtId="0" fontId="5" fillId="0" borderId="12" xfId="0" applyFont="1" applyBorder="1" applyAlignment="1">
      <alignment horizontal="left" vertical="center" wrapText="1"/>
    </xf>
    <xf numFmtId="0" fontId="5" fillId="0" borderId="5" xfId="0" applyFont="1" applyBorder="1" applyAlignment="1">
      <alignment horizontal="left" vertical="center" wrapText="1"/>
    </xf>
    <xf numFmtId="0" fontId="5" fillId="0" borderId="17" xfId="0" applyFont="1" applyBorder="1" applyAlignment="1">
      <alignment horizontal="left" vertical="center" wrapText="1"/>
    </xf>
    <xf numFmtId="0" fontId="14" fillId="0" borderId="14" xfId="0" applyFont="1" applyBorder="1" applyAlignment="1">
      <alignment horizontal="center" vertical="center" wrapText="1"/>
    </xf>
    <xf numFmtId="0" fontId="6" fillId="0" borderId="22" xfId="0" applyFont="1" applyBorder="1" applyAlignment="1">
      <alignment horizontal="left" vertical="center" wrapText="1"/>
    </xf>
    <xf numFmtId="0" fontId="5" fillId="0" borderId="4"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wrapText="1"/>
    </xf>
    <xf numFmtId="0" fontId="20" fillId="4" borderId="6" xfId="0" applyFont="1" applyFill="1" applyBorder="1" applyAlignment="1">
      <alignment horizontal="center" vertical="center"/>
    </xf>
    <xf numFmtId="0" fontId="20" fillId="4" borderId="7" xfId="0" applyFont="1" applyFill="1" applyBorder="1" applyAlignment="1">
      <alignment horizontal="center" vertical="center"/>
    </xf>
    <xf numFmtId="0" fontId="20" fillId="0" borderId="0" xfId="0" applyFont="1" applyAlignment="1">
      <alignment horizontal="center" vertical="center"/>
    </xf>
    <xf numFmtId="0" fontId="5" fillId="4" borderId="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46"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1" xfId="0" applyFont="1" applyFill="1" applyBorder="1" applyAlignment="1">
      <alignment horizontal="center" vertical="center" wrapText="1"/>
    </xf>
    <xf numFmtId="0" fontId="5" fillId="4" borderId="54" xfId="0" applyFont="1" applyFill="1" applyBorder="1" applyAlignment="1">
      <alignment horizontal="center" vertical="center" wrapText="1"/>
    </xf>
    <xf numFmtId="0" fontId="5" fillId="4" borderId="50" xfId="0" applyFont="1" applyFill="1" applyBorder="1" applyAlignment="1">
      <alignment horizontal="center" vertical="center" wrapText="1"/>
    </xf>
    <xf numFmtId="0" fontId="5" fillId="4" borderId="55" xfId="0" applyFont="1" applyFill="1" applyBorder="1" applyAlignment="1">
      <alignment horizontal="center" vertical="center" wrapText="1"/>
    </xf>
    <xf numFmtId="0" fontId="32" fillId="0" borderId="6"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22" xfId="0" applyFont="1" applyBorder="1" applyAlignment="1">
      <alignment horizontal="center" vertical="center" wrapText="1"/>
    </xf>
    <xf numFmtId="0" fontId="28" fillId="0" borderId="8"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17" xfId="0" applyFont="1" applyBorder="1" applyAlignment="1">
      <alignment horizontal="center" vertical="center" wrapText="1"/>
    </xf>
    <xf numFmtId="0" fontId="31" fillId="0" borderId="65" xfId="0" applyFont="1" applyBorder="1" applyAlignment="1">
      <alignment horizontal="left" vertical="center" wrapText="1"/>
    </xf>
    <xf numFmtId="0" fontId="31" fillId="0" borderId="66" xfId="0" applyFont="1" applyBorder="1" applyAlignment="1">
      <alignment horizontal="left" vertical="center" wrapText="1"/>
    </xf>
    <xf numFmtId="0" fontId="31" fillId="0" borderId="67" xfId="0" applyFont="1" applyBorder="1" applyAlignment="1">
      <alignment horizontal="left" vertical="center" wrapText="1"/>
    </xf>
    <xf numFmtId="0" fontId="31" fillId="0" borderId="63" xfId="0" applyFont="1" applyBorder="1" applyAlignment="1">
      <alignment horizontal="left" vertical="center" wrapText="1"/>
    </xf>
    <xf numFmtId="0" fontId="31" fillId="0" borderId="59" xfId="0" applyFont="1" applyBorder="1" applyAlignment="1">
      <alignment horizontal="left" vertical="center" wrapText="1"/>
    </xf>
    <xf numFmtId="0" fontId="31" fillId="0" borderId="64" xfId="0" applyFont="1" applyBorder="1" applyAlignment="1">
      <alignment horizontal="left" vertical="center" wrapText="1"/>
    </xf>
    <xf numFmtId="0" fontId="7" fillId="0" borderId="56"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58"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0" xfId="0" applyFont="1" applyAlignment="1">
      <alignment horizontal="center" vertical="center" wrapText="1"/>
    </xf>
    <xf numFmtId="0" fontId="33" fillId="0" borderId="24" xfId="0" applyFont="1" applyBorder="1" applyAlignment="1">
      <alignment horizontal="center" vertical="center" wrapText="1"/>
    </xf>
    <xf numFmtId="0" fontId="31" fillId="0" borderId="60" xfId="0" applyFont="1" applyBorder="1" applyAlignment="1">
      <alignment horizontal="left" vertical="center" wrapText="1"/>
    </xf>
    <xf numFmtId="0" fontId="31" fillId="0" borderId="61" xfId="0" applyFont="1" applyBorder="1" applyAlignment="1">
      <alignment horizontal="left" vertical="center" wrapText="1"/>
    </xf>
    <xf numFmtId="0" fontId="31" fillId="0" borderId="62" xfId="0" applyFont="1" applyBorder="1" applyAlignment="1">
      <alignment horizontal="left" vertical="center" wrapText="1"/>
    </xf>
    <xf numFmtId="0" fontId="31" fillId="0" borderId="68" xfId="0" applyFont="1" applyBorder="1" applyAlignment="1">
      <alignment horizontal="left" vertical="center" wrapText="1"/>
    </xf>
    <xf numFmtId="0" fontId="31" fillId="0" borderId="69" xfId="0" applyFont="1" applyBorder="1" applyAlignment="1">
      <alignment horizontal="left" vertical="center" wrapText="1"/>
    </xf>
    <xf numFmtId="0" fontId="31" fillId="0" borderId="70" xfId="0" applyFont="1" applyBorder="1" applyAlignment="1">
      <alignment horizontal="left" vertical="center" wrapText="1"/>
    </xf>
    <xf numFmtId="0" fontId="7" fillId="0" borderId="59" xfId="0" applyFont="1" applyBorder="1" applyAlignment="1">
      <alignment horizontal="left" vertical="center" wrapText="1"/>
    </xf>
    <xf numFmtId="0" fontId="7" fillId="0" borderId="64" xfId="0" applyFont="1" applyBorder="1" applyAlignment="1">
      <alignment horizontal="left" vertical="center" wrapText="1"/>
    </xf>
    <xf numFmtId="0" fontId="5" fillId="0" borderId="44" xfId="0" applyFont="1" applyBorder="1" applyAlignment="1">
      <alignment horizontal="center" vertical="center" wrapText="1"/>
    </xf>
    <xf numFmtId="0" fontId="24" fillId="0" borderId="44" xfId="0" applyFont="1" applyBorder="1" applyAlignment="1">
      <alignment horizontal="center" vertical="center"/>
    </xf>
    <xf numFmtId="0" fontId="5"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5" xfId="0" applyFont="1" applyBorder="1" applyAlignment="1">
      <alignment horizontal="center" vertical="center" wrapText="1"/>
    </xf>
    <xf numFmtId="0" fontId="5" fillId="6" borderId="47" xfId="0" applyFont="1" applyFill="1" applyBorder="1" applyAlignment="1">
      <alignment horizontal="center" vertical="center" wrapText="1"/>
    </xf>
    <xf numFmtId="0" fontId="5" fillId="6" borderId="51" xfId="0" applyFont="1" applyFill="1" applyBorder="1" applyAlignment="1">
      <alignment horizontal="center" vertical="center" wrapText="1"/>
    </xf>
    <xf numFmtId="0" fontId="5" fillId="4" borderId="5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26" fillId="0" borderId="8"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0" xfId="0" applyFont="1" applyAlignment="1">
      <alignment horizontal="center" vertical="center" wrapText="1"/>
    </xf>
    <xf numFmtId="0" fontId="26" fillId="0" borderId="24" xfId="0" applyFont="1" applyBorder="1" applyAlignment="1">
      <alignment horizontal="center" vertical="center" wrapText="1"/>
    </xf>
    <xf numFmtId="0" fontId="5" fillId="4" borderId="16"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0" borderId="53" xfId="0" applyFont="1" applyBorder="1" applyAlignment="1">
      <alignment horizontal="center" vertical="center" wrapText="1"/>
    </xf>
    <xf numFmtId="0" fontId="5" fillId="6" borderId="48" xfId="0" applyFont="1" applyFill="1" applyBorder="1" applyAlignment="1">
      <alignment horizontal="center" vertical="center" wrapText="1"/>
    </xf>
    <xf numFmtId="0" fontId="5" fillId="6" borderId="49"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28" xfId="0" applyFont="1" applyFill="1" applyBorder="1" applyAlignment="1">
      <alignment horizontal="center" vertical="center" wrapText="1"/>
    </xf>
    <xf numFmtId="0" fontId="5" fillId="0" borderId="29" xfId="0" applyFont="1" applyBorder="1" applyAlignment="1">
      <alignment horizontal="center" vertical="center" wrapText="1"/>
    </xf>
    <xf numFmtId="0" fontId="5" fillId="4" borderId="30"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0" borderId="47" xfId="0" applyFont="1" applyBorder="1" applyAlignment="1">
      <alignment horizontal="center" vertical="center" shrinkToFit="1"/>
    </xf>
    <xf numFmtId="0" fontId="5" fillId="0" borderId="51" xfId="0" applyFont="1" applyBorder="1" applyAlignment="1">
      <alignment horizontal="center" vertical="center" shrinkToFit="1"/>
    </xf>
  </cellXfs>
  <cellStyles count="3">
    <cellStyle name="쉼표 [0]" xfId="1" builtinId="6"/>
    <cellStyle name="표준" xfId="0" builtinId="0"/>
    <cellStyle name="하이퍼링크" xfId="2"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Drop" dropStyle="combo" dx="31" fmlaRange="$AK$2:$AK$10" noThreeD="1" sel="1" val="0"/>
</file>

<file path=xl/ctrlProps/ctrlProp10.xml><?xml version="1.0" encoding="utf-8"?>
<formControlPr xmlns="http://schemas.microsoft.com/office/spreadsheetml/2009/9/main" objectType="Drop" dropLines="3" dropStyle="combo" dx="31" fmlaRange="$AL$2:$AL$4" noThreeD="1" sel="1" val="0"/>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Spin" dx="16" fmlaLink="$K$20" max="40" page="10" val="0"/>
</file>

<file path=xl/ctrlProps/ctrlProp77.xml><?xml version="1.0" encoding="utf-8"?>
<formControlPr xmlns="http://schemas.microsoft.com/office/spreadsheetml/2009/9/main" objectType="Spin" dx="16" fmlaLink="$O$20" max="40" page="10" val="0"/>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checked="Checked"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121920</xdr:colOff>
          <xdr:row>10</xdr:row>
          <xdr:rowOff>68580</xdr:rowOff>
        </xdr:from>
        <xdr:to>
          <xdr:col>9</xdr:col>
          <xdr:colOff>289560</xdr:colOff>
          <xdr:row>10</xdr:row>
          <xdr:rowOff>304800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단독판매</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144780</xdr:colOff>
          <xdr:row>7</xdr:row>
          <xdr:rowOff>60960</xdr:rowOff>
        </xdr:from>
        <xdr:to>
          <xdr:col>30</xdr:col>
          <xdr:colOff>297180</xdr:colOff>
          <xdr:row>7</xdr:row>
          <xdr:rowOff>297180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12</xdr:row>
          <xdr:rowOff>68580</xdr:rowOff>
        </xdr:from>
        <xdr:to>
          <xdr:col>9</xdr:col>
          <xdr:colOff>76200</xdr:colOff>
          <xdr:row>12</xdr:row>
          <xdr:rowOff>304800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12</xdr:row>
          <xdr:rowOff>68580</xdr:rowOff>
        </xdr:from>
        <xdr:to>
          <xdr:col>14</xdr:col>
          <xdr:colOff>175260</xdr:colOff>
          <xdr:row>12</xdr:row>
          <xdr:rowOff>304800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미사용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11</xdr:row>
          <xdr:rowOff>83820</xdr:rowOff>
        </xdr:from>
        <xdr:to>
          <xdr:col>9</xdr:col>
          <xdr:colOff>160020</xdr:colOff>
          <xdr:row>11</xdr:row>
          <xdr:rowOff>320040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현장수령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11</xdr:row>
          <xdr:rowOff>83820</xdr:rowOff>
        </xdr:from>
        <xdr:to>
          <xdr:col>14</xdr:col>
          <xdr:colOff>297180</xdr:colOff>
          <xdr:row>11</xdr:row>
          <xdr:rowOff>320040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현장수령+배송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11</xdr:row>
          <xdr:rowOff>83820</xdr:rowOff>
        </xdr:from>
        <xdr:to>
          <xdr:col>21</xdr:col>
          <xdr:colOff>129540</xdr:colOff>
          <xdr:row>11</xdr:row>
          <xdr:rowOff>327660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일괄 배송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281940</xdr:colOff>
          <xdr:row>10</xdr:row>
          <xdr:rowOff>68580</xdr:rowOff>
        </xdr:from>
        <xdr:to>
          <xdr:col>28</xdr:col>
          <xdr:colOff>220980</xdr:colOff>
          <xdr:row>10</xdr:row>
          <xdr:rowOff>304800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지정석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144780</xdr:colOff>
          <xdr:row>10</xdr:row>
          <xdr:rowOff>68580</xdr:rowOff>
        </xdr:from>
        <xdr:to>
          <xdr:col>30</xdr:col>
          <xdr:colOff>632460</xdr:colOff>
          <xdr:row>10</xdr:row>
          <xdr:rowOff>304800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비지정석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388620</xdr:colOff>
          <xdr:row>44</xdr:row>
          <xdr:rowOff>68580</xdr:rowOff>
        </xdr:from>
        <xdr:to>
          <xdr:col>12</xdr:col>
          <xdr:colOff>175260</xdr:colOff>
          <xdr:row>44</xdr:row>
          <xdr:rowOff>304800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종료 후 정산 (종료 후 7일 이내)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251460</xdr:colOff>
          <xdr:row>44</xdr:row>
          <xdr:rowOff>60960</xdr:rowOff>
        </xdr:from>
        <xdr:to>
          <xdr:col>30</xdr:col>
          <xdr:colOff>175260</xdr:colOff>
          <xdr:row>44</xdr:row>
          <xdr:rowOff>297180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월 단위 정산 (매월 1일~말일까지 판매된 금액 / 공연기간 3개월 이상일 경우)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15</xdr:row>
          <xdr:rowOff>68580</xdr:rowOff>
        </xdr:from>
        <xdr:to>
          <xdr:col>13</xdr:col>
          <xdr:colOff>106680</xdr:colOff>
          <xdr:row>15</xdr:row>
          <xdr:rowOff>304800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사용(사용시 영문 자료 전달)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160020</xdr:colOff>
          <xdr:row>15</xdr:row>
          <xdr:rowOff>68580</xdr:rowOff>
        </xdr:from>
        <xdr:to>
          <xdr:col>18</xdr:col>
          <xdr:colOff>7620</xdr:colOff>
          <xdr:row>15</xdr:row>
          <xdr:rowOff>304800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미사용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182880</xdr:colOff>
          <xdr:row>54</xdr:row>
          <xdr:rowOff>160020</xdr:rowOff>
        </xdr:from>
        <xdr:to>
          <xdr:col>28</xdr:col>
          <xdr:colOff>60960</xdr:colOff>
          <xdr:row>54</xdr:row>
          <xdr:rowOff>373380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동의</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274320</xdr:colOff>
          <xdr:row>54</xdr:row>
          <xdr:rowOff>144780</xdr:rowOff>
        </xdr:from>
        <xdr:to>
          <xdr:col>30</xdr:col>
          <xdr:colOff>335280</xdr:colOff>
          <xdr:row>54</xdr:row>
          <xdr:rowOff>381000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동의안함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45</xdr:row>
          <xdr:rowOff>68580</xdr:rowOff>
        </xdr:from>
        <xdr:to>
          <xdr:col>5</xdr:col>
          <xdr:colOff>342900</xdr:colOff>
          <xdr:row>45</xdr:row>
          <xdr:rowOff>304800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수수료 차감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45</xdr:row>
          <xdr:rowOff>76200</xdr:rowOff>
        </xdr:from>
        <xdr:to>
          <xdr:col>10</xdr:col>
          <xdr:colOff>182880</xdr:colOff>
          <xdr:row>45</xdr:row>
          <xdr:rowOff>312420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수수료 청구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99060</xdr:colOff>
          <xdr:row>45</xdr:row>
          <xdr:rowOff>68580</xdr:rowOff>
        </xdr:from>
        <xdr:to>
          <xdr:col>25</xdr:col>
          <xdr:colOff>0</xdr:colOff>
          <xdr:row>45</xdr:row>
          <xdr:rowOff>304800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기획사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160020</xdr:colOff>
          <xdr:row>45</xdr:row>
          <xdr:rowOff>68580</xdr:rowOff>
        </xdr:from>
        <xdr:to>
          <xdr:col>26</xdr:col>
          <xdr:colOff>502920</xdr:colOff>
          <xdr:row>45</xdr:row>
          <xdr:rowOff>304800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티켓링크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160020</xdr:colOff>
          <xdr:row>47</xdr:row>
          <xdr:rowOff>121920</xdr:rowOff>
        </xdr:from>
        <xdr:to>
          <xdr:col>24</xdr:col>
          <xdr:colOff>327660</xdr:colOff>
          <xdr:row>47</xdr:row>
          <xdr:rowOff>274320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예매</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152400</xdr:colOff>
          <xdr:row>47</xdr:row>
          <xdr:rowOff>121920</xdr:rowOff>
        </xdr:from>
        <xdr:to>
          <xdr:col>26</xdr:col>
          <xdr:colOff>365760</xdr:colOff>
          <xdr:row>47</xdr:row>
          <xdr:rowOff>274320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배송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38100</xdr:colOff>
          <xdr:row>47</xdr:row>
          <xdr:rowOff>114300</xdr:rowOff>
        </xdr:from>
        <xdr:to>
          <xdr:col>28</xdr:col>
          <xdr:colOff>266700</xdr:colOff>
          <xdr:row>47</xdr:row>
          <xdr:rowOff>266700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취소</a:t>
              </a:r>
            </a:p>
          </xdr:txBody>
        </xdr:sp>
        <xdr:clientData/>
      </xdr:twoCellAnchor>
    </mc:Choice>
    <mc:Fallback/>
  </mc:AlternateContent>
  <xdr:twoCellAnchor>
    <xdr:from>
      <xdr:col>6</xdr:col>
      <xdr:colOff>342072</xdr:colOff>
      <xdr:row>28</xdr:row>
      <xdr:rowOff>71837</xdr:rowOff>
    </xdr:from>
    <xdr:to>
      <xdr:col>7</xdr:col>
      <xdr:colOff>158013</xdr:colOff>
      <xdr:row>28</xdr:row>
      <xdr:rowOff>264250</xdr:rowOff>
    </xdr:to>
    <xdr:sp macro="" textlink="">
      <xdr:nvSpPr>
        <xdr:cNvPr id="48" name="타원 47">
          <a:extLst>
            <a:ext uri="{FF2B5EF4-FFF2-40B4-BE49-F238E27FC236}">
              <a16:creationId xmlns:a16="http://schemas.microsoft.com/office/drawing/2014/main" id="{00000000-0008-0000-0000-000030000000}"/>
            </a:ext>
          </a:extLst>
        </xdr:cNvPr>
        <xdr:cNvSpPr/>
      </xdr:nvSpPr>
      <xdr:spPr>
        <a:xfrm>
          <a:off x="4492731" y="10426072"/>
          <a:ext cx="165564" cy="192413"/>
        </a:xfrm>
        <a:prstGeom prst="ellipse">
          <a:avLst/>
        </a:prstGeom>
        <a:solidFill>
          <a:schemeClr val="accent6">
            <a:lumMod val="75000"/>
          </a:schemeClr>
        </a:solidFill>
        <a:ln w="31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altLang="ko-KR" sz="1100" b="1">
              <a:solidFill>
                <a:schemeClr val="bg1"/>
              </a:solidFill>
              <a:latin typeface="바탕체" panose="02030609000101010101" pitchFamily="17" charset="-127"/>
              <a:ea typeface="바탕체" panose="02030609000101010101" pitchFamily="17" charset="-127"/>
            </a:rPr>
            <a:t>?</a:t>
          </a:r>
          <a:endParaRPr lang="ko-KR" altLang="en-US" sz="1100" b="1">
            <a:solidFill>
              <a:schemeClr val="bg1"/>
            </a:solidFill>
            <a:latin typeface="바탕체" panose="02030609000101010101" pitchFamily="17" charset="-127"/>
            <a:ea typeface="바탕체" panose="02030609000101010101" pitchFamily="17" charset="-127"/>
          </a:endParaRPr>
        </a:p>
      </xdr:txBody>
    </xdr:sp>
    <xdr:clientData/>
  </xdr:twoCellAnchor>
  <xdr:twoCellAnchor>
    <xdr:from>
      <xdr:col>3</xdr:col>
      <xdr:colOff>247650</xdr:colOff>
      <xdr:row>53</xdr:row>
      <xdr:rowOff>76200</xdr:rowOff>
    </xdr:from>
    <xdr:to>
      <xdr:col>3</xdr:col>
      <xdr:colOff>433713</xdr:colOff>
      <xdr:row>53</xdr:row>
      <xdr:rowOff>262263</xdr:rowOff>
    </xdr:to>
    <xdr:sp macro="" textlink="">
      <xdr:nvSpPr>
        <xdr:cNvPr id="51" name="타원 50">
          <a:extLst>
            <a:ext uri="{FF2B5EF4-FFF2-40B4-BE49-F238E27FC236}">
              <a16:creationId xmlns:a16="http://schemas.microsoft.com/office/drawing/2014/main" id="{00000000-0008-0000-0000-000033000000}"/>
            </a:ext>
          </a:extLst>
        </xdr:cNvPr>
        <xdr:cNvSpPr/>
      </xdr:nvSpPr>
      <xdr:spPr>
        <a:xfrm>
          <a:off x="2066925" y="18164175"/>
          <a:ext cx="186063" cy="186063"/>
        </a:xfrm>
        <a:prstGeom prst="ellipse">
          <a:avLst/>
        </a:prstGeom>
        <a:solidFill>
          <a:schemeClr val="accent6">
            <a:lumMod val="75000"/>
          </a:schemeClr>
        </a:solidFill>
        <a:ln w="31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altLang="ko-KR" sz="1100" b="1">
              <a:solidFill>
                <a:schemeClr val="bg1"/>
              </a:solidFill>
              <a:latin typeface="바탕체" panose="02030609000101010101" pitchFamily="17" charset="-127"/>
              <a:ea typeface="바탕체" panose="02030609000101010101" pitchFamily="17" charset="-127"/>
            </a:rPr>
            <a:t>?</a:t>
          </a:r>
          <a:endParaRPr lang="ko-KR" altLang="en-US" sz="1100" b="1">
            <a:solidFill>
              <a:schemeClr val="bg1"/>
            </a:solidFill>
            <a:latin typeface="바탕체" panose="02030609000101010101" pitchFamily="17" charset="-127"/>
            <a:ea typeface="바탕체" panose="02030609000101010101" pitchFamily="17" charset="-127"/>
          </a:endParaRPr>
        </a:p>
      </xdr:txBody>
    </xdr:sp>
    <xdr:clientData/>
  </xdr:twoCellAnchor>
  <mc:AlternateContent xmlns:mc="http://schemas.openxmlformats.org/markup-compatibility/2006">
    <mc:Choice xmlns:a14="http://schemas.microsoft.com/office/drawing/2010/main" Requires="a14">
      <xdr:twoCellAnchor editAs="oneCell">
        <xdr:from>
          <xdr:col>12</xdr:col>
          <xdr:colOff>7620</xdr:colOff>
          <xdr:row>10</xdr:row>
          <xdr:rowOff>68580</xdr:rowOff>
        </xdr:from>
        <xdr:to>
          <xdr:col>14</xdr:col>
          <xdr:colOff>289560</xdr:colOff>
          <xdr:row>10</xdr:row>
          <xdr:rowOff>304800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해당없음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137160</xdr:colOff>
          <xdr:row>48</xdr:row>
          <xdr:rowOff>99060</xdr:rowOff>
        </xdr:from>
        <xdr:to>
          <xdr:col>13</xdr:col>
          <xdr:colOff>15240</xdr:colOff>
          <xdr:row>48</xdr:row>
          <xdr:rowOff>259080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해당사항 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48</xdr:row>
          <xdr:rowOff>99060</xdr:rowOff>
        </xdr:from>
        <xdr:to>
          <xdr:col>6</xdr:col>
          <xdr:colOff>152400</xdr:colOff>
          <xdr:row>48</xdr:row>
          <xdr:rowOff>259080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335280</xdr:colOff>
          <xdr:row>48</xdr:row>
          <xdr:rowOff>91440</xdr:rowOff>
        </xdr:from>
        <xdr:to>
          <xdr:col>29</xdr:col>
          <xdr:colOff>68580</xdr:colOff>
          <xdr:row>48</xdr:row>
          <xdr:rowOff>266700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해당사항 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144780</xdr:colOff>
          <xdr:row>48</xdr:row>
          <xdr:rowOff>99060</xdr:rowOff>
        </xdr:from>
        <xdr:to>
          <xdr:col>25</xdr:col>
          <xdr:colOff>297180</xdr:colOff>
          <xdr:row>48</xdr:row>
          <xdr:rowOff>251460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요청</a:t>
              </a:r>
            </a:p>
          </xdr:txBody>
        </xdr:sp>
        <xdr:clientData/>
      </xdr:twoCellAnchor>
    </mc:Choice>
    <mc:Fallback/>
  </mc:AlternateContent>
  <xdr:twoCellAnchor>
    <xdr:from>
      <xdr:col>7</xdr:col>
      <xdr:colOff>104775</xdr:colOff>
      <xdr:row>21</xdr:row>
      <xdr:rowOff>76200</xdr:rowOff>
    </xdr:from>
    <xdr:to>
      <xdr:col>8</xdr:col>
      <xdr:colOff>128913</xdr:colOff>
      <xdr:row>21</xdr:row>
      <xdr:rowOff>262263</xdr:rowOff>
    </xdr:to>
    <xdr:sp macro="" textlink="">
      <xdr:nvSpPr>
        <xdr:cNvPr id="58" name="타원 57">
          <a:extLst>
            <a:ext uri="{FF2B5EF4-FFF2-40B4-BE49-F238E27FC236}">
              <a16:creationId xmlns:a16="http://schemas.microsoft.com/office/drawing/2014/main" id="{00000000-0008-0000-0000-00003A000000}"/>
            </a:ext>
          </a:extLst>
        </xdr:cNvPr>
        <xdr:cNvSpPr/>
      </xdr:nvSpPr>
      <xdr:spPr>
        <a:xfrm>
          <a:off x="3971925" y="5934075"/>
          <a:ext cx="186063" cy="186063"/>
        </a:xfrm>
        <a:prstGeom prst="ellipse">
          <a:avLst/>
        </a:prstGeom>
        <a:solidFill>
          <a:schemeClr val="accent6">
            <a:lumMod val="75000"/>
          </a:schemeClr>
        </a:solidFill>
        <a:ln w="31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altLang="ko-KR" sz="1100" b="1">
              <a:solidFill>
                <a:schemeClr val="bg1"/>
              </a:solidFill>
              <a:latin typeface="바탕체" panose="02030609000101010101" pitchFamily="17" charset="-127"/>
              <a:ea typeface="바탕체" panose="02030609000101010101" pitchFamily="17" charset="-127"/>
            </a:rPr>
            <a:t>?</a:t>
          </a:r>
          <a:endParaRPr lang="ko-KR" altLang="en-US" sz="1100" b="1">
            <a:solidFill>
              <a:schemeClr val="bg1"/>
            </a:solidFill>
            <a:latin typeface="바탕체" panose="02030609000101010101" pitchFamily="17" charset="-127"/>
            <a:ea typeface="바탕체" panose="02030609000101010101" pitchFamily="17" charset="-127"/>
          </a:endParaRPr>
        </a:p>
      </xdr:txBody>
    </xdr:sp>
    <xdr:clientData/>
  </xdr:twoCellAnchor>
  <mc:AlternateContent xmlns:mc="http://schemas.openxmlformats.org/markup-compatibility/2006">
    <mc:Choice xmlns:a14="http://schemas.microsoft.com/office/drawing/2010/main" Requires="a14">
      <xdr:twoCellAnchor editAs="oneCell">
        <xdr:from>
          <xdr:col>9</xdr:col>
          <xdr:colOff>182880</xdr:colOff>
          <xdr:row>42</xdr:row>
          <xdr:rowOff>45720</xdr:rowOff>
        </xdr:from>
        <xdr:to>
          <xdr:col>17</xdr:col>
          <xdr:colOff>106680</xdr:colOff>
          <xdr:row>42</xdr:row>
          <xdr:rowOff>289560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신청업체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160020</xdr:colOff>
          <xdr:row>42</xdr:row>
          <xdr:rowOff>45720</xdr:rowOff>
        </xdr:from>
        <xdr:to>
          <xdr:col>26</xdr:col>
          <xdr:colOff>121920</xdr:colOff>
          <xdr:row>42</xdr:row>
          <xdr:rowOff>289560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비신청업체</a:t>
              </a:r>
            </a:p>
          </xdr:txBody>
        </xdr:sp>
        <xdr:clientData/>
      </xdr:twoCellAnchor>
    </mc:Choice>
    <mc:Fallback/>
  </mc:AlternateContent>
  <xdr:twoCellAnchor>
    <xdr:from>
      <xdr:col>3</xdr:col>
      <xdr:colOff>228600</xdr:colOff>
      <xdr:row>42</xdr:row>
      <xdr:rowOff>66675</xdr:rowOff>
    </xdr:from>
    <xdr:to>
      <xdr:col>3</xdr:col>
      <xdr:colOff>414663</xdr:colOff>
      <xdr:row>42</xdr:row>
      <xdr:rowOff>252738</xdr:rowOff>
    </xdr:to>
    <xdr:sp macro="" textlink="">
      <xdr:nvSpPr>
        <xdr:cNvPr id="53" name="타원 52">
          <a:extLst>
            <a:ext uri="{FF2B5EF4-FFF2-40B4-BE49-F238E27FC236}">
              <a16:creationId xmlns:a16="http://schemas.microsoft.com/office/drawing/2014/main" id="{00000000-0008-0000-0000-000035000000}"/>
            </a:ext>
          </a:extLst>
        </xdr:cNvPr>
        <xdr:cNvSpPr/>
      </xdr:nvSpPr>
      <xdr:spPr>
        <a:xfrm>
          <a:off x="2047875" y="14706600"/>
          <a:ext cx="186063" cy="186063"/>
        </a:xfrm>
        <a:prstGeom prst="ellipse">
          <a:avLst/>
        </a:prstGeom>
        <a:solidFill>
          <a:schemeClr val="accent6">
            <a:lumMod val="75000"/>
          </a:schemeClr>
        </a:solidFill>
        <a:ln w="31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altLang="ko-KR" sz="1100" b="1">
              <a:solidFill>
                <a:schemeClr val="bg1"/>
              </a:solidFill>
              <a:latin typeface="바탕체" panose="02030609000101010101" pitchFamily="17" charset="-127"/>
              <a:ea typeface="바탕체" panose="02030609000101010101" pitchFamily="17" charset="-127"/>
            </a:rPr>
            <a:t>?</a:t>
          </a:r>
          <a:endParaRPr lang="ko-KR" altLang="en-US" sz="1100" b="1">
            <a:solidFill>
              <a:schemeClr val="bg1"/>
            </a:solidFill>
            <a:latin typeface="바탕체" panose="02030609000101010101" pitchFamily="17" charset="-127"/>
            <a:ea typeface="바탕체" panose="02030609000101010101" pitchFamily="17" charset="-127"/>
          </a:endParaRPr>
        </a:p>
      </xdr:txBody>
    </xdr:sp>
    <xdr:clientData/>
  </xdr:twoCellAnchor>
  <mc:AlternateContent xmlns:mc="http://schemas.openxmlformats.org/markup-compatibility/2006">
    <mc:Choice xmlns:a14="http://schemas.microsoft.com/office/drawing/2010/main" Requires="a14">
      <xdr:twoCellAnchor editAs="oneCell">
        <xdr:from>
          <xdr:col>9</xdr:col>
          <xdr:colOff>182880</xdr:colOff>
          <xdr:row>43</xdr:row>
          <xdr:rowOff>45720</xdr:rowOff>
        </xdr:from>
        <xdr:to>
          <xdr:col>17</xdr:col>
          <xdr:colOff>106680</xdr:colOff>
          <xdr:row>43</xdr:row>
          <xdr:rowOff>289560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제 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160020</xdr:colOff>
          <xdr:row>43</xdr:row>
          <xdr:rowOff>45720</xdr:rowOff>
        </xdr:from>
        <xdr:to>
          <xdr:col>26</xdr:col>
          <xdr:colOff>121920</xdr:colOff>
          <xdr:row>43</xdr:row>
          <xdr:rowOff>289560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비 제 공 (온라인 공연)</a:t>
              </a:r>
            </a:p>
          </xdr:txBody>
        </xdr:sp>
        <xdr:clientData/>
      </xdr:twoCellAnchor>
    </mc:Choice>
    <mc:Fallback/>
  </mc:AlternateContent>
  <xdr:twoCellAnchor>
    <xdr:from>
      <xdr:col>3</xdr:col>
      <xdr:colOff>323850</xdr:colOff>
      <xdr:row>43</xdr:row>
      <xdr:rowOff>66675</xdr:rowOff>
    </xdr:from>
    <xdr:to>
      <xdr:col>3</xdr:col>
      <xdr:colOff>509913</xdr:colOff>
      <xdr:row>43</xdr:row>
      <xdr:rowOff>252738</xdr:rowOff>
    </xdr:to>
    <xdr:sp macro="" textlink="">
      <xdr:nvSpPr>
        <xdr:cNvPr id="54" name="타원 53">
          <a:extLst>
            <a:ext uri="{FF2B5EF4-FFF2-40B4-BE49-F238E27FC236}">
              <a16:creationId xmlns:a16="http://schemas.microsoft.com/office/drawing/2014/main" id="{00000000-0008-0000-0000-000036000000}"/>
            </a:ext>
          </a:extLst>
        </xdr:cNvPr>
        <xdr:cNvSpPr/>
      </xdr:nvSpPr>
      <xdr:spPr>
        <a:xfrm>
          <a:off x="2352675" y="15059025"/>
          <a:ext cx="186063" cy="186063"/>
        </a:xfrm>
        <a:prstGeom prst="ellipse">
          <a:avLst/>
        </a:prstGeom>
        <a:solidFill>
          <a:schemeClr val="accent6">
            <a:lumMod val="75000"/>
          </a:schemeClr>
        </a:solidFill>
        <a:ln w="31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altLang="ko-KR" sz="1100" b="1">
              <a:solidFill>
                <a:schemeClr val="bg1"/>
              </a:solidFill>
              <a:latin typeface="바탕체" panose="02030609000101010101" pitchFamily="17" charset="-127"/>
              <a:ea typeface="바탕체" panose="02030609000101010101" pitchFamily="17" charset="-127"/>
            </a:rPr>
            <a:t>?</a:t>
          </a:r>
          <a:endParaRPr lang="ko-KR" altLang="en-US" sz="1100" b="1">
            <a:solidFill>
              <a:schemeClr val="bg1"/>
            </a:solidFill>
            <a:latin typeface="바탕체" panose="02030609000101010101" pitchFamily="17" charset="-127"/>
            <a:ea typeface="바탕체" panose="02030609000101010101" pitchFamily="17" charset="-127"/>
          </a:endParaRPr>
        </a:p>
      </xdr:txBody>
    </xdr:sp>
    <xdr:clientData/>
  </xdr:twoCellAnchor>
  <xdr:twoCellAnchor editAs="oneCell">
    <xdr:from>
      <xdr:col>0</xdr:col>
      <xdr:colOff>0</xdr:colOff>
      <xdr:row>0</xdr:row>
      <xdr:rowOff>0</xdr:rowOff>
    </xdr:from>
    <xdr:to>
      <xdr:col>2</xdr:col>
      <xdr:colOff>59500</xdr:colOff>
      <xdr:row>1</xdr:row>
      <xdr:rowOff>320675</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9680" cy="952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76200</xdr:colOff>
          <xdr:row>19</xdr:row>
          <xdr:rowOff>60960</xdr:rowOff>
        </xdr:from>
        <xdr:to>
          <xdr:col>9</xdr:col>
          <xdr:colOff>30480</xdr:colOff>
          <xdr:row>19</xdr:row>
          <xdr:rowOff>304800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19</xdr:row>
          <xdr:rowOff>60960</xdr:rowOff>
        </xdr:from>
        <xdr:to>
          <xdr:col>11</xdr:col>
          <xdr:colOff>38100</xdr:colOff>
          <xdr:row>19</xdr:row>
          <xdr:rowOff>297180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미사용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114300</xdr:colOff>
          <xdr:row>19</xdr:row>
          <xdr:rowOff>60960</xdr:rowOff>
        </xdr:from>
        <xdr:to>
          <xdr:col>19</xdr:col>
          <xdr:colOff>22860</xdr:colOff>
          <xdr:row>19</xdr:row>
          <xdr:rowOff>304800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노출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91440</xdr:colOff>
          <xdr:row>19</xdr:row>
          <xdr:rowOff>60960</xdr:rowOff>
        </xdr:from>
        <xdr:to>
          <xdr:col>21</xdr:col>
          <xdr:colOff>182880</xdr:colOff>
          <xdr:row>19</xdr:row>
          <xdr:rowOff>304800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미노출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281940</xdr:colOff>
          <xdr:row>19</xdr:row>
          <xdr:rowOff>60960</xdr:rowOff>
        </xdr:from>
        <xdr:to>
          <xdr:col>28</xdr:col>
          <xdr:colOff>38100</xdr:colOff>
          <xdr:row>19</xdr:row>
          <xdr:rowOff>297180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기대평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144780</xdr:colOff>
          <xdr:row>19</xdr:row>
          <xdr:rowOff>60960</xdr:rowOff>
        </xdr:from>
        <xdr:to>
          <xdr:col>30</xdr:col>
          <xdr:colOff>533400</xdr:colOff>
          <xdr:row>19</xdr:row>
          <xdr:rowOff>297180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구매후기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8</xdr:row>
          <xdr:rowOff>83820</xdr:rowOff>
        </xdr:from>
        <xdr:to>
          <xdr:col>13</xdr:col>
          <xdr:colOff>45720</xdr:colOff>
          <xdr:row>8</xdr:row>
          <xdr:rowOff>297180</xdr:rowOff>
        </xdr:to>
        <xdr:sp macro="" textlink="">
          <xdr:nvSpPr>
            <xdr:cNvPr id="1214" name="Drop Down 190" descr="장르선택"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9</xdr:row>
          <xdr:rowOff>68580</xdr:rowOff>
        </xdr:from>
        <xdr:to>
          <xdr:col>10</xdr:col>
          <xdr:colOff>205740</xdr:colOff>
          <xdr:row>9</xdr:row>
          <xdr:rowOff>274320</xdr:rowOff>
        </xdr:to>
        <xdr:sp macro="" textlink="">
          <xdr:nvSpPr>
            <xdr:cNvPr id="1215" name="Drop Down 191" descr="해당없음"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281940</xdr:colOff>
          <xdr:row>8</xdr:row>
          <xdr:rowOff>68580</xdr:rowOff>
        </xdr:from>
        <xdr:to>
          <xdr:col>28</xdr:col>
          <xdr:colOff>228600</xdr:colOff>
          <xdr:row>8</xdr:row>
          <xdr:rowOff>304800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가능</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144780</xdr:colOff>
          <xdr:row>8</xdr:row>
          <xdr:rowOff>68580</xdr:rowOff>
        </xdr:from>
        <xdr:to>
          <xdr:col>30</xdr:col>
          <xdr:colOff>632460</xdr:colOff>
          <xdr:row>8</xdr:row>
          <xdr:rowOff>304800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불가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13</xdr:row>
          <xdr:rowOff>68580</xdr:rowOff>
        </xdr:from>
        <xdr:to>
          <xdr:col>9</xdr:col>
          <xdr:colOff>76200</xdr:colOff>
          <xdr:row>13</xdr:row>
          <xdr:rowOff>304800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13</xdr:row>
          <xdr:rowOff>60960</xdr:rowOff>
        </xdr:from>
        <xdr:to>
          <xdr:col>14</xdr:col>
          <xdr:colOff>175260</xdr:colOff>
          <xdr:row>13</xdr:row>
          <xdr:rowOff>304800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미사용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11</xdr:row>
          <xdr:rowOff>373380</xdr:rowOff>
        </xdr:from>
        <xdr:to>
          <xdr:col>9</xdr:col>
          <xdr:colOff>160020</xdr:colOff>
          <xdr:row>11</xdr:row>
          <xdr:rowOff>609600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스마트티켓</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11</xdr:row>
          <xdr:rowOff>381000</xdr:rowOff>
        </xdr:from>
        <xdr:to>
          <xdr:col>14</xdr:col>
          <xdr:colOff>160020</xdr:colOff>
          <xdr:row>11</xdr:row>
          <xdr:rowOff>617220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모바일티켓</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14</xdr:row>
          <xdr:rowOff>91440</xdr:rowOff>
        </xdr:from>
        <xdr:to>
          <xdr:col>9</xdr:col>
          <xdr:colOff>76200</xdr:colOff>
          <xdr:row>14</xdr:row>
          <xdr:rowOff>327660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예매당일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xdr:colOff>
          <xdr:row>14</xdr:row>
          <xdr:rowOff>91440</xdr:rowOff>
        </xdr:from>
        <xdr:to>
          <xdr:col>14</xdr:col>
          <xdr:colOff>76200</xdr:colOff>
          <xdr:row>14</xdr:row>
          <xdr:rowOff>327660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예매익일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76200</xdr:colOff>
          <xdr:row>15</xdr:row>
          <xdr:rowOff>68580</xdr:rowOff>
        </xdr:from>
        <xdr:to>
          <xdr:col>28</xdr:col>
          <xdr:colOff>30480</xdr:colOff>
          <xdr:row>15</xdr:row>
          <xdr:rowOff>304800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즉시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76200</xdr:colOff>
          <xdr:row>16</xdr:row>
          <xdr:rowOff>60960</xdr:rowOff>
        </xdr:from>
        <xdr:to>
          <xdr:col>27</xdr:col>
          <xdr:colOff>160020</xdr:colOff>
          <xdr:row>16</xdr:row>
          <xdr:rowOff>297180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일시선택</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76200</xdr:colOff>
          <xdr:row>17</xdr:row>
          <xdr:rowOff>60960</xdr:rowOff>
        </xdr:from>
        <xdr:to>
          <xdr:col>27</xdr:col>
          <xdr:colOff>160020</xdr:colOff>
          <xdr:row>17</xdr:row>
          <xdr:rowOff>297180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미정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76200</xdr:colOff>
          <xdr:row>18</xdr:row>
          <xdr:rowOff>68580</xdr:rowOff>
        </xdr:from>
        <xdr:to>
          <xdr:col>28</xdr:col>
          <xdr:colOff>30480</xdr:colOff>
          <xdr:row>18</xdr:row>
          <xdr:rowOff>304800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회차당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18</xdr:row>
          <xdr:rowOff>68580</xdr:rowOff>
        </xdr:from>
        <xdr:to>
          <xdr:col>29</xdr:col>
          <xdr:colOff>182880</xdr:colOff>
          <xdr:row>18</xdr:row>
          <xdr:rowOff>304800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상품당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14</xdr:row>
          <xdr:rowOff>91440</xdr:rowOff>
        </xdr:from>
        <xdr:to>
          <xdr:col>20</xdr:col>
          <xdr:colOff>228600</xdr:colOff>
          <xdr:row>14</xdr:row>
          <xdr:rowOff>350520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미설정</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182880</xdr:colOff>
          <xdr:row>3</xdr:row>
          <xdr:rowOff>60960</xdr:rowOff>
        </xdr:from>
        <xdr:to>
          <xdr:col>6</xdr:col>
          <xdr:colOff>53340</xdr:colOff>
          <xdr:row>3</xdr:row>
          <xdr:rowOff>297180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뮤지컬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3</xdr:row>
          <xdr:rowOff>60960</xdr:rowOff>
        </xdr:from>
        <xdr:to>
          <xdr:col>11</xdr:col>
          <xdr:colOff>30480</xdr:colOff>
          <xdr:row>3</xdr:row>
          <xdr:rowOff>297180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연극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3</xdr:row>
          <xdr:rowOff>53340</xdr:rowOff>
        </xdr:from>
        <xdr:to>
          <xdr:col>15</xdr:col>
          <xdr:colOff>68580</xdr:colOff>
          <xdr:row>3</xdr:row>
          <xdr:rowOff>297180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클래식/무용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3</xdr:row>
          <xdr:rowOff>53340</xdr:rowOff>
        </xdr:from>
        <xdr:to>
          <xdr:col>8</xdr:col>
          <xdr:colOff>106680</xdr:colOff>
          <xdr:row>3</xdr:row>
          <xdr:rowOff>297180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콘서트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129540</xdr:colOff>
          <xdr:row>3</xdr:row>
          <xdr:rowOff>60960</xdr:rowOff>
        </xdr:from>
        <xdr:to>
          <xdr:col>24</xdr:col>
          <xdr:colOff>15240</xdr:colOff>
          <xdr:row>3</xdr:row>
          <xdr:rowOff>297180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레저/체험</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30480</xdr:colOff>
          <xdr:row>3</xdr:row>
          <xdr:rowOff>60960</xdr:rowOff>
        </xdr:from>
        <xdr:to>
          <xdr:col>22</xdr:col>
          <xdr:colOff>68580</xdr:colOff>
          <xdr:row>3</xdr:row>
          <xdr:rowOff>297180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전시/축제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4</xdr:row>
          <xdr:rowOff>68580</xdr:rowOff>
        </xdr:from>
        <xdr:to>
          <xdr:col>7</xdr:col>
          <xdr:colOff>0</xdr:colOff>
          <xdr:row>4</xdr:row>
          <xdr:rowOff>304800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단독판매</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4</xdr:row>
          <xdr:rowOff>68580</xdr:rowOff>
        </xdr:from>
        <xdr:to>
          <xdr:col>11</xdr:col>
          <xdr:colOff>38100</xdr:colOff>
          <xdr:row>4</xdr:row>
          <xdr:rowOff>304800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해당없음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76200</xdr:colOff>
          <xdr:row>3</xdr:row>
          <xdr:rowOff>60960</xdr:rowOff>
        </xdr:from>
        <xdr:to>
          <xdr:col>27</xdr:col>
          <xdr:colOff>144780</xdr:colOff>
          <xdr:row>3</xdr:row>
          <xdr:rowOff>297180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e스포츠/게임</a:t>
              </a:r>
            </a:p>
          </xdr:txBody>
        </xdr:sp>
        <xdr:clientData/>
      </xdr:twoCellAnchor>
    </mc:Choice>
    <mc:Fallback/>
  </mc:AlternateContent>
  <xdr:twoCellAnchor editAs="oneCell">
    <xdr:from>
      <xdr:col>0</xdr:col>
      <xdr:colOff>0</xdr:colOff>
      <xdr:row>0</xdr:row>
      <xdr:rowOff>0</xdr:rowOff>
    </xdr:from>
    <xdr:to>
      <xdr:col>3</xdr:col>
      <xdr:colOff>4255</xdr:colOff>
      <xdr:row>1</xdr:row>
      <xdr:rowOff>323850</xdr:rowOff>
    </xdr:to>
    <xdr:pic>
      <xdr:nvPicPr>
        <xdr:cNvPr id="12" name="그림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9680" cy="952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137160</xdr:colOff>
          <xdr:row>3</xdr:row>
          <xdr:rowOff>60960</xdr:rowOff>
        </xdr:from>
        <xdr:to>
          <xdr:col>19</xdr:col>
          <xdr:colOff>114300</xdr:colOff>
          <xdr:row>3</xdr:row>
          <xdr:rowOff>297180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가족&amp;아동</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266700</xdr:colOff>
          <xdr:row>6</xdr:row>
          <xdr:rowOff>53340</xdr:rowOff>
        </xdr:from>
        <xdr:to>
          <xdr:col>7</xdr:col>
          <xdr:colOff>99060</xdr:colOff>
          <xdr:row>6</xdr:row>
          <xdr:rowOff>289560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즉시</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xdr:row>
          <xdr:rowOff>53340</xdr:rowOff>
        </xdr:from>
        <xdr:to>
          <xdr:col>10</xdr:col>
          <xdr:colOff>220980</xdr:colOff>
          <xdr:row>6</xdr:row>
          <xdr:rowOff>289560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일시선택</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31750</xdr:colOff>
      <xdr:row>0</xdr:row>
      <xdr:rowOff>0</xdr:rowOff>
    </xdr:from>
    <xdr:to>
      <xdr:col>0</xdr:col>
      <xdr:colOff>1534605</xdr:colOff>
      <xdr:row>1</xdr:row>
      <xdr:rowOff>323850</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 y="0"/>
          <a:ext cx="1499680"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7430</xdr:colOff>
      <xdr:row>1</xdr:row>
      <xdr:rowOff>323850</xdr:rowOff>
    </xdr:to>
    <xdr:pic>
      <xdr:nvPicPr>
        <xdr:cNvPr id="11" name="그림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3330" cy="952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24</xdr:col>
          <xdr:colOff>129540</xdr:colOff>
          <xdr:row>0</xdr:row>
          <xdr:rowOff>190500</xdr:rowOff>
        </xdr:from>
        <xdr:to>
          <xdr:col>27</xdr:col>
          <xdr:colOff>99060</xdr:colOff>
          <xdr:row>0</xdr:row>
          <xdr:rowOff>449580</xdr:rowOff>
        </xdr:to>
        <xdr:sp macro="" textlink="">
          <xdr:nvSpPr>
            <xdr:cNvPr id="5131" name="Check Box 11" descr="장비 설치"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solidFill>
              <a:srgbClr val="FFFF00">
                <a:alpha val="64000"/>
              </a:srgbClr>
            </a:solidFill>
            <a:ln w="9525">
              <a:solidFill>
                <a:srgbClr val="FFFFFF" mc:Ignorable="a14" a14:legacySpreadsheetColorIndex="9"/>
              </a:solidFill>
              <a:miter lim="800000"/>
              <a:headEnd/>
              <a:tailEnd/>
            </a:ln>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장비 설치</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129540</xdr:colOff>
          <xdr:row>0</xdr:row>
          <xdr:rowOff>556260</xdr:rowOff>
        </xdr:from>
        <xdr:to>
          <xdr:col>27</xdr:col>
          <xdr:colOff>91440</xdr:colOff>
          <xdr:row>1</xdr:row>
          <xdr:rowOff>175260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solidFill>
              <a:srgbClr val="FFFF00"/>
            </a:solidFill>
            <a:ln>
              <a:noFill/>
            </a:ln>
            <a:extLst>
              <a:ext uri="{91240B29-F687-4F45-9708-019B960494DF}">
                <a14:hiddenLine w="9525">
                  <a:solidFill>
                    <a:srgbClr val="FF9900" mc:Ignorable="a14" a14:legacySpreadsheetColorIndex="52"/>
                  </a:solidFill>
                  <a:miter lim="800000"/>
                  <a:headEnd/>
                  <a:tailEnd/>
                </a14:hiddenLine>
              </a:ext>
            </a:extLst>
          </xdr:spPr>
          <xdr:txBody>
            <a:bodyPr vertOverflow="clip" wrap="square" lIns="27432" tIns="18288" rIns="0" bIns="18288" anchor="ctr" upright="1"/>
            <a:lstStyle/>
            <a:p>
              <a:pPr algn="l" rtl="0">
                <a:defRPr sz="1000"/>
              </a:pPr>
              <a:r>
                <a:rPr lang="ko-KR" altLang="en-US" sz="900" b="0" i="0" u="none" strike="noStrike" baseline="0">
                  <a:solidFill>
                    <a:srgbClr val="000000"/>
                  </a:solidFill>
                  <a:latin typeface="굴림"/>
                  <a:ea typeface="굴림"/>
                </a:rPr>
                <a:t> 인력지원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198120</xdr:colOff>
          <xdr:row>12</xdr:row>
          <xdr:rowOff>45720</xdr:rowOff>
        </xdr:from>
        <xdr:to>
          <xdr:col>22</xdr:col>
          <xdr:colOff>167640</xdr:colOff>
          <xdr:row>12</xdr:row>
          <xdr:rowOff>320040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기본티켓</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68580</xdr:colOff>
          <xdr:row>12</xdr:row>
          <xdr:rowOff>53340</xdr:rowOff>
        </xdr:from>
        <xdr:to>
          <xdr:col>25</xdr:col>
          <xdr:colOff>220980</xdr:colOff>
          <xdr:row>12</xdr:row>
          <xdr:rowOff>320040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제작티켓</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182880</xdr:colOff>
          <xdr:row>9</xdr:row>
          <xdr:rowOff>38100</xdr:rowOff>
        </xdr:from>
        <xdr:to>
          <xdr:col>22</xdr:col>
          <xdr:colOff>160020</xdr:colOff>
          <xdr:row>9</xdr:row>
          <xdr:rowOff>304800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구형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60960</xdr:colOff>
          <xdr:row>9</xdr:row>
          <xdr:rowOff>38100</xdr:rowOff>
        </xdr:from>
        <xdr:to>
          <xdr:col>25</xdr:col>
          <xdr:colOff>213360</xdr:colOff>
          <xdr:row>9</xdr:row>
          <xdr:rowOff>320040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신형</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213360</xdr:colOff>
          <xdr:row>14</xdr:row>
          <xdr:rowOff>53340</xdr:rowOff>
        </xdr:from>
        <xdr:to>
          <xdr:col>7</xdr:col>
          <xdr:colOff>167640</xdr:colOff>
          <xdr:row>14</xdr:row>
          <xdr:rowOff>327660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랜선</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14</xdr:row>
          <xdr:rowOff>53340</xdr:rowOff>
        </xdr:from>
        <xdr:to>
          <xdr:col>11</xdr:col>
          <xdr:colOff>30480</xdr:colOff>
          <xdr:row>14</xdr:row>
          <xdr:rowOff>327660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와이파이 에그</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60960</xdr:colOff>
          <xdr:row>16</xdr:row>
          <xdr:rowOff>76200</xdr:rowOff>
        </xdr:from>
        <xdr:to>
          <xdr:col>13</xdr:col>
          <xdr:colOff>30480</xdr:colOff>
          <xdr:row>16</xdr:row>
          <xdr:rowOff>289560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106680</xdr:colOff>
          <xdr:row>16</xdr:row>
          <xdr:rowOff>76200</xdr:rowOff>
        </xdr:from>
        <xdr:to>
          <xdr:col>17</xdr:col>
          <xdr:colOff>76200</xdr:colOff>
          <xdr:row>16</xdr:row>
          <xdr:rowOff>289560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167640</xdr:colOff>
          <xdr:row>18</xdr:row>
          <xdr:rowOff>38100</xdr:rowOff>
        </xdr:from>
        <xdr:to>
          <xdr:col>13</xdr:col>
          <xdr:colOff>175260</xdr:colOff>
          <xdr:row>18</xdr:row>
          <xdr:rowOff>327660</xdr:rowOff>
        </xdr:to>
        <xdr:sp macro="" textlink="">
          <xdr:nvSpPr>
            <xdr:cNvPr id="5148" name="Spinner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60960</xdr:colOff>
          <xdr:row>18</xdr:row>
          <xdr:rowOff>38100</xdr:rowOff>
        </xdr:from>
        <xdr:to>
          <xdr:col>17</xdr:col>
          <xdr:colOff>251460</xdr:colOff>
          <xdr:row>18</xdr:row>
          <xdr:rowOff>327660</xdr:rowOff>
        </xdr:to>
        <xdr:sp macro="" textlink="">
          <xdr:nvSpPr>
            <xdr:cNvPr id="5149" name="Spinner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45720</xdr:colOff>
          <xdr:row>17</xdr:row>
          <xdr:rowOff>68580</xdr:rowOff>
        </xdr:from>
        <xdr:to>
          <xdr:col>13</xdr:col>
          <xdr:colOff>22860</xdr:colOff>
          <xdr:row>17</xdr:row>
          <xdr:rowOff>289560</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17</xdr:row>
          <xdr:rowOff>68580</xdr:rowOff>
        </xdr:from>
        <xdr:to>
          <xdr:col>17</xdr:col>
          <xdr:colOff>60960</xdr:colOff>
          <xdr:row>17</xdr:row>
          <xdr:rowOff>289560</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20</xdr:row>
          <xdr:rowOff>30480</xdr:rowOff>
        </xdr:from>
        <xdr:to>
          <xdr:col>14</xdr:col>
          <xdr:colOff>175260</xdr:colOff>
          <xdr:row>20</xdr:row>
          <xdr:rowOff>304800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식사제공</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20</xdr:row>
          <xdr:rowOff>22860</xdr:rowOff>
        </xdr:from>
        <xdr:to>
          <xdr:col>18</xdr:col>
          <xdr:colOff>213360</xdr:colOff>
          <xdr:row>20</xdr:row>
          <xdr:rowOff>304800</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ko-KR" altLang="en-US" sz="1100" b="0" i="0" u="none" strike="noStrike" baseline="0">
                  <a:solidFill>
                    <a:srgbClr val="000000"/>
                  </a:solidFill>
                  <a:latin typeface="돋움"/>
                  <a:ea typeface="돋움"/>
                </a:rPr>
                <a:t>식대지급</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96D0C5-791F-4678-BC1E-0C8D51FFF7F1}">
  <we:reference id="29673e3c-d826-4f00-92ee-162334a52b1a" version="1.0.0.8" store="EXCatalog" storeType="EXCatalog"/>
  <we:alternateReferences>
    <we:reference id="WA200009404" version="1.0.0.8" store="ko-KR" storeType="OMEX"/>
  </we:alternateReferences>
  <we:properties>
    <we:property name="claude.fileId" value="&quot;66c3a066-41ba-4177-8400-6e833aeb3bc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ctrlProp" Target="../ctrlProps/ctrlProp4.xml"/><Relationship Id="rId18" Type="http://schemas.openxmlformats.org/officeDocument/2006/relationships/ctrlProp" Target="../ctrlProps/ctrlProp9.xml"/><Relationship Id="rId26" Type="http://schemas.openxmlformats.org/officeDocument/2006/relationships/ctrlProp" Target="../ctrlProps/ctrlProp17.xml"/><Relationship Id="rId39" Type="http://schemas.openxmlformats.org/officeDocument/2006/relationships/ctrlProp" Target="../ctrlProps/ctrlProp30.xml"/><Relationship Id="rId21" Type="http://schemas.openxmlformats.org/officeDocument/2006/relationships/ctrlProp" Target="../ctrlProps/ctrlProp12.xml"/><Relationship Id="rId34" Type="http://schemas.openxmlformats.org/officeDocument/2006/relationships/ctrlProp" Target="../ctrlProps/ctrlProp25.xml"/><Relationship Id="rId42" Type="http://schemas.openxmlformats.org/officeDocument/2006/relationships/ctrlProp" Target="../ctrlProps/ctrlProp33.xml"/><Relationship Id="rId47" Type="http://schemas.openxmlformats.org/officeDocument/2006/relationships/ctrlProp" Target="../ctrlProps/ctrlProp38.xml"/><Relationship Id="rId50" Type="http://schemas.openxmlformats.org/officeDocument/2006/relationships/ctrlProp" Target="../ctrlProps/ctrlProp41.xml"/><Relationship Id="rId55" Type="http://schemas.openxmlformats.org/officeDocument/2006/relationships/ctrlProp" Target="../ctrlProps/ctrlProp46.xml"/><Relationship Id="rId63" Type="http://schemas.openxmlformats.org/officeDocument/2006/relationships/comments" Target="../comments1.xml"/><Relationship Id="rId7" Type="http://schemas.openxmlformats.org/officeDocument/2006/relationships/printerSettings" Target="../printerSettings/printerSettings1.bin"/><Relationship Id="rId2" Type="http://schemas.openxmlformats.org/officeDocument/2006/relationships/hyperlink" Target="http://www.ticketlink.co.kr/" TargetMode="External"/><Relationship Id="rId16" Type="http://schemas.openxmlformats.org/officeDocument/2006/relationships/ctrlProp" Target="../ctrlProps/ctrlProp7.xml"/><Relationship Id="rId29" Type="http://schemas.openxmlformats.org/officeDocument/2006/relationships/ctrlProp" Target="../ctrlProps/ctrlProp20.xml"/><Relationship Id="rId11" Type="http://schemas.openxmlformats.org/officeDocument/2006/relationships/ctrlProp" Target="../ctrlProps/ctrlProp2.xml"/><Relationship Id="rId24" Type="http://schemas.openxmlformats.org/officeDocument/2006/relationships/ctrlProp" Target="../ctrlProps/ctrlProp15.xml"/><Relationship Id="rId32" Type="http://schemas.openxmlformats.org/officeDocument/2006/relationships/ctrlProp" Target="../ctrlProps/ctrlProp23.xml"/><Relationship Id="rId37" Type="http://schemas.openxmlformats.org/officeDocument/2006/relationships/ctrlProp" Target="../ctrlProps/ctrlProp28.xml"/><Relationship Id="rId40" Type="http://schemas.openxmlformats.org/officeDocument/2006/relationships/ctrlProp" Target="../ctrlProps/ctrlProp31.xml"/><Relationship Id="rId45" Type="http://schemas.openxmlformats.org/officeDocument/2006/relationships/ctrlProp" Target="../ctrlProps/ctrlProp36.xml"/><Relationship Id="rId53" Type="http://schemas.openxmlformats.org/officeDocument/2006/relationships/ctrlProp" Target="../ctrlProps/ctrlProp44.xml"/><Relationship Id="rId58" Type="http://schemas.openxmlformats.org/officeDocument/2006/relationships/ctrlProp" Target="../ctrlProps/ctrlProp49.xml"/><Relationship Id="rId61" Type="http://schemas.openxmlformats.org/officeDocument/2006/relationships/ctrlProp" Target="../ctrlProps/ctrlProp52.xml"/><Relationship Id="rId19" Type="http://schemas.openxmlformats.org/officeDocument/2006/relationships/ctrlProp" Target="../ctrlProps/ctrlProp10.xml"/><Relationship Id="rId14" Type="http://schemas.openxmlformats.org/officeDocument/2006/relationships/ctrlProp" Target="../ctrlProps/ctrlProp5.xml"/><Relationship Id="rId22" Type="http://schemas.openxmlformats.org/officeDocument/2006/relationships/ctrlProp" Target="../ctrlProps/ctrlProp13.xml"/><Relationship Id="rId27" Type="http://schemas.openxmlformats.org/officeDocument/2006/relationships/ctrlProp" Target="../ctrlProps/ctrlProp18.xml"/><Relationship Id="rId30" Type="http://schemas.openxmlformats.org/officeDocument/2006/relationships/ctrlProp" Target="../ctrlProps/ctrlProp21.xml"/><Relationship Id="rId35" Type="http://schemas.openxmlformats.org/officeDocument/2006/relationships/ctrlProp" Target="../ctrlProps/ctrlProp26.xml"/><Relationship Id="rId43" Type="http://schemas.openxmlformats.org/officeDocument/2006/relationships/ctrlProp" Target="../ctrlProps/ctrlProp34.xml"/><Relationship Id="rId48" Type="http://schemas.openxmlformats.org/officeDocument/2006/relationships/ctrlProp" Target="../ctrlProps/ctrlProp39.xml"/><Relationship Id="rId56" Type="http://schemas.openxmlformats.org/officeDocument/2006/relationships/ctrlProp" Target="../ctrlProps/ctrlProp47.xml"/><Relationship Id="rId8" Type="http://schemas.openxmlformats.org/officeDocument/2006/relationships/drawing" Target="../drawings/drawing1.xml"/><Relationship Id="rId51" Type="http://schemas.openxmlformats.org/officeDocument/2006/relationships/ctrlProp" Target="../ctrlProps/ctrlProp42.xml"/><Relationship Id="rId3" Type="http://schemas.openxmlformats.org/officeDocument/2006/relationships/hyperlink" Target="https://www.kopis.or.kr/por/cs/kopis/info/csInfo.do?menuId=MNU_000105&amp;searchWord=&amp;searchType=total" TargetMode="External"/><Relationship Id="rId12" Type="http://schemas.openxmlformats.org/officeDocument/2006/relationships/ctrlProp" Target="../ctrlProps/ctrlProp3.xml"/><Relationship Id="rId17" Type="http://schemas.openxmlformats.org/officeDocument/2006/relationships/ctrlProp" Target="../ctrlProps/ctrlProp8.xml"/><Relationship Id="rId25" Type="http://schemas.openxmlformats.org/officeDocument/2006/relationships/ctrlProp" Target="../ctrlProps/ctrlProp16.xml"/><Relationship Id="rId33" Type="http://schemas.openxmlformats.org/officeDocument/2006/relationships/ctrlProp" Target="../ctrlProps/ctrlProp24.xml"/><Relationship Id="rId38" Type="http://schemas.openxmlformats.org/officeDocument/2006/relationships/ctrlProp" Target="../ctrlProps/ctrlProp29.xml"/><Relationship Id="rId46" Type="http://schemas.openxmlformats.org/officeDocument/2006/relationships/ctrlProp" Target="../ctrlProps/ctrlProp37.xml"/><Relationship Id="rId59" Type="http://schemas.openxmlformats.org/officeDocument/2006/relationships/ctrlProp" Target="../ctrlProps/ctrlProp50.xml"/><Relationship Id="rId20" Type="http://schemas.openxmlformats.org/officeDocument/2006/relationships/ctrlProp" Target="../ctrlProps/ctrlProp11.xml"/><Relationship Id="rId41" Type="http://schemas.openxmlformats.org/officeDocument/2006/relationships/ctrlProp" Target="../ctrlProps/ctrlProp32.xml"/><Relationship Id="rId54" Type="http://schemas.openxmlformats.org/officeDocument/2006/relationships/ctrlProp" Target="../ctrlProps/ctrlProp45.xml"/><Relationship Id="rId62" Type="http://schemas.openxmlformats.org/officeDocument/2006/relationships/ctrlProp" Target="../ctrlProps/ctrlProp53.xml"/><Relationship Id="rId1" Type="http://schemas.openxmlformats.org/officeDocument/2006/relationships/hyperlink" Target="https://www.culture.go.kr/deduction/" TargetMode="External"/><Relationship Id="rId15" Type="http://schemas.openxmlformats.org/officeDocument/2006/relationships/ctrlProp" Target="../ctrlProps/ctrlProp6.xml"/><Relationship Id="rId23" Type="http://schemas.openxmlformats.org/officeDocument/2006/relationships/ctrlProp" Target="../ctrlProps/ctrlProp14.xml"/><Relationship Id="rId28" Type="http://schemas.openxmlformats.org/officeDocument/2006/relationships/ctrlProp" Target="../ctrlProps/ctrlProp19.xml"/><Relationship Id="rId36" Type="http://schemas.openxmlformats.org/officeDocument/2006/relationships/ctrlProp" Target="../ctrlProps/ctrlProp27.xml"/><Relationship Id="rId49" Type="http://schemas.openxmlformats.org/officeDocument/2006/relationships/ctrlProp" Target="../ctrlProps/ctrlProp40.xml"/><Relationship Id="rId57" Type="http://schemas.openxmlformats.org/officeDocument/2006/relationships/ctrlProp" Target="../ctrlProps/ctrlProp48.xml"/><Relationship Id="rId10" Type="http://schemas.openxmlformats.org/officeDocument/2006/relationships/ctrlProp" Target="../ctrlProps/ctrlProp1.xml"/><Relationship Id="rId31" Type="http://schemas.openxmlformats.org/officeDocument/2006/relationships/ctrlProp" Target="../ctrlProps/ctrlProp22.xml"/><Relationship Id="rId44" Type="http://schemas.openxmlformats.org/officeDocument/2006/relationships/ctrlProp" Target="../ctrlProps/ctrlProp35.xml"/><Relationship Id="rId52" Type="http://schemas.openxmlformats.org/officeDocument/2006/relationships/ctrlProp" Target="../ctrlProps/ctrlProp43.xml"/><Relationship Id="rId60" Type="http://schemas.openxmlformats.org/officeDocument/2006/relationships/ctrlProp" Target="../ctrlProps/ctrlProp51.xm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8.xml"/><Relationship Id="rId13" Type="http://schemas.openxmlformats.org/officeDocument/2006/relationships/ctrlProp" Target="../ctrlProps/ctrlProp63.xml"/><Relationship Id="rId3" Type="http://schemas.openxmlformats.org/officeDocument/2006/relationships/vmlDrawing" Target="../drawings/vmlDrawing2.vml"/><Relationship Id="rId7" Type="http://schemas.openxmlformats.org/officeDocument/2006/relationships/ctrlProp" Target="../ctrlProps/ctrlProp57.xml"/><Relationship Id="rId12" Type="http://schemas.openxmlformats.org/officeDocument/2006/relationships/ctrlProp" Target="../ctrlProps/ctrlProp6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6.xml"/><Relationship Id="rId11" Type="http://schemas.openxmlformats.org/officeDocument/2006/relationships/ctrlProp" Target="../ctrlProps/ctrlProp61.xml"/><Relationship Id="rId5" Type="http://schemas.openxmlformats.org/officeDocument/2006/relationships/ctrlProp" Target="../ctrlProps/ctrlProp55.xml"/><Relationship Id="rId15" Type="http://schemas.openxmlformats.org/officeDocument/2006/relationships/ctrlProp" Target="../ctrlProps/ctrlProp65.xml"/><Relationship Id="rId10" Type="http://schemas.openxmlformats.org/officeDocument/2006/relationships/ctrlProp" Target="../ctrlProps/ctrlProp60.xml"/><Relationship Id="rId4" Type="http://schemas.openxmlformats.org/officeDocument/2006/relationships/ctrlProp" Target="../ctrlProps/ctrlProp54.xml"/><Relationship Id="rId9" Type="http://schemas.openxmlformats.org/officeDocument/2006/relationships/ctrlProp" Target="../ctrlProps/ctrlProp59.xml"/><Relationship Id="rId14" Type="http://schemas.openxmlformats.org/officeDocument/2006/relationships/ctrlProp" Target="../ctrlProps/ctrlProp6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0.xml"/><Relationship Id="rId13" Type="http://schemas.openxmlformats.org/officeDocument/2006/relationships/ctrlProp" Target="../ctrlProps/ctrlProp75.xml"/><Relationship Id="rId18" Type="http://schemas.openxmlformats.org/officeDocument/2006/relationships/ctrlProp" Target="../ctrlProps/ctrlProp80.xml"/><Relationship Id="rId3" Type="http://schemas.openxmlformats.org/officeDocument/2006/relationships/vmlDrawing" Target="../drawings/vmlDrawing3.vml"/><Relationship Id="rId7" Type="http://schemas.openxmlformats.org/officeDocument/2006/relationships/ctrlProp" Target="../ctrlProps/ctrlProp69.xml"/><Relationship Id="rId12" Type="http://schemas.openxmlformats.org/officeDocument/2006/relationships/ctrlProp" Target="../ctrlProps/ctrlProp74.xml"/><Relationship Id="rId17" Type="http://schemas.openxmlformats.org/officeDocument/2006/relationships/ctrlProp" Target="../ctrlProps/ctrlProp79.xml"/><Relationship Id="rId2" Type="http://schemas.openxmlformats.org/officeDocument/2006/relationships/drawing" Target="../drawings/drawing4.xml"/><Relationship Id="rId16" Type="http://schemas.openxmlformats.org/officeDocument/2006/relationships/ctrlProp" Target="../ctrlProps/ctrlProp78.xml"/><Relationship Id="rId1" Type="http://schemas.openxmlformats.org/officeDocument/2006/relationships/printerSettings" Target="../printerSettings/printerSettings4.bin"/><Relationship Id="rId6" Type="http://schemas.openxmlformats.org/officeDocument/2006/relationships/ctrlProp" Target="../ctrlProps/ctrlProp68.xml"/><Relationship Id="rId11" Type="http://schemas.openxmlformats.org/officeDocument/2006/relationships/ctrlProp" Target="../ctrlProps/ctrlProp73.xml"/><Relationship Id="rId5" Type="http://schemas.openxmlformats.org/officeDocument/2006/relationships/ctrlProp" Target="../ctrlProps/ctrlProp67.xml"/><Relationship Id="rId15" Type="http://schemas.openxmlformats.org/officeDocument/2006/relationships/ctrlProp" Target="../ctrlProps/ctrlProp77.xml"/><Relationship Id="rId10" Type="http://schemas.openxmlformats.org/officeDocument/2006/relationships/ctrlProp" Target="../ctrlProps/ctrlProp72.xml"/><Relationship Id="rId19" Type="http://schemas.openxmlformats.org/officeDocument/2006/relationships/ctrlProp" Target="../ctrlProps/ctrlProp81.xml"/><Relationship Id="rId4" Type="http://schemas.openxmlformats.org/officeDocument/2006/relationships/ctrlProp" Target="../ctrlProps/ctrlProp66.xml"/><Relationship Id="rId9" Type="http://schemas.openxmlformats.org/officeDocument/2006/relationships/ctrlProp" Target="../ctrlProps/ctrlProp71.xml"/><Relationship Id="rId14" Type="http://schemas.openxmlformats.org/officeDocument/2006/relationships/ctrlProp" Target="../ctrlProps/ctrlProp7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L62"/>
  <sheetViews>
    <sheetView showGridLines="0" tabSelected="1" topLeftCell="A28" zoomScaleNormal="100" zoomScaleSheetLayoutView="100" workbookViewId="0">
      <selection activeCell="E30" sqref="E30:AE30"/>
    </sheetView>
  </sheetViews>
  <sheetFormatPr defaultColWidth="9" defaultRowHeight="23.25" customHeight="1" x14ac:dyDescent="0.4"/>
  <cols>
    <col min="1" max="1" width="11.3984375" style="1" customWidth="1"/>
    <col min="2" max="4" width="7.59765625" style="1" customWidth="1"/>
    <col min="5" max="5" width="10.8984375" style="1" customWidth="1"/>
    <col min="6" max="6" width="9.19921875" style="1" customWidth="1"/>
    <col min="7" max="7" width="4.59765625" style="1" customWidth="1"/>
    <col min="8" max="9" width="2.09765625" style="1" customWidth="1"/>
    <col min="10" max="10" width="4.09765625" style="1" customWidth="1"/>
    <col min="11" max="11" width="3.59765625" style="1" customWidth="1"/>
    <col min="12" max="12" width="2.09765625" style="1" customWidth="1"/>
    <col min="13" max="14" width="3.59765625" style="1" customWidth="1"/>
    <col min="15" max="15" width="4.19921875" style="1" customWidth="1"/>
    <col min="16" max="20" width="2.3984375" style="1" customWidth="1"/>
    <col min="21" max="21" width="3.3984375" style="1" customWidth="1"/>
    <col min="22" max="22" width="3.19921875" style="1" customWidth="1"/>
    <col min="23" max="23" width="1.8984375" style="1" customWidth="1"/>
    <col min="24" max="25" width="5.09765625" style="1" customWidth="1"/>
    <col min="26" max="26" width="4.5" style="1" customWidth="1"/>
    <col min="27" max="27" width="7.09765625" style="1" customWidth="1"/>
    <col min="28" max="28" width="4.19921875" style="1" customWidth="1"/>
    <col min="29" max="29" width="4" style="1" customWidth="1"/>
    <col min="30" max="30" width="4.19921875" style="1" customWidth="1"/>
    <col min="31" max="31" width="11" style="1" customWidth="1"/>
    <col min="32" max="32" width="5.19921875" style="1" customWidth="1"/>
    <col min="33" max="33" width="3.8984375" style="1" customWidth="1"/>
    <col min="34" max="36" width="9" style="1"/>
    <col min="37" max="38" width="9" style="1" hidden="1" customWidth="1"/>
    <col min="39" max="16384" width="9" style="1"/>
  </cols>
  <sheetData>
    <row r="1" spans="1:38" ht="49.5" customHeight="1" x14ac:dyDescent="0.4">
      <c r="A1" s="62" t="s">
        <v>4</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4"/>
    </row>
    <row r="2" spans="1:38" ht="27.75" customHeight="1" x14ac:dyDescent="0.4">
      <c r="A2" s="242"/>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4"/>
      <c r="AK2" s="1" t="s">
        <v>186</v>
      </c>
      <c r="AL2" s="1" t="s">
        <v>135</v>
      </c>
    </row>
    <row r="3" spans="1:38" ht="23.25" customHeight="1" x14ac:dyDescent="0.4">
      <c r="A3" s="245" t="s">
        <v>6</v>
      </c>
      <c r="B3" s="246"/>
      <c r="C3" s="246"/>
      <c r="D3" s="246"/>
      <c r="E3" s="246"/>
      <c r="F3" s="246"/>
      <c r="G3" s="24"/>
      <c r="H3" s="24"/>
      <c r="I3" s="24"/>
      <c r="J3" s="24"/>
      <c r="K3" s="24"/>
      <c r="L3" s="24"/>
      <c r="M3" s="24"/>
      <c r="N3" s="24"/>
      <c r="O3" s="24"/>
      <c r="P3" s="24"/>
      <c r="Q3" s="24"/>
      <c r="R3" s="24"/>
      <c r="S3" s="24"/>
      <c r="T3" s="24"/>
      <c r="U3" s="24"/>
      <c r="V3" s="24"/>
      <c r="W3" s="246"/>
      <c r="X3" s="246"/>
      <c r="Y3" s="246"/>
      <c r="Z3" s="246"/>
      <c r="AA3" s="246"/>
      <c r="AB3" s="246"/>
      <c r="AC3" s="246"/>
      <c r="AD3" s="246"/>
      <c r="AE3" s="247"/>
      <c r="AK3" s="1" t="s">
        <v>125</v>
      </c>
      <c r="AL3" s="1" t="s">
        <v>134</v>
      </c>
    </row>
    <row r="4" spans="1:38" ht="27.6" customHeight="1" x14ac:dyDescent="0.4">
      <c r="A4" s="198" t="s">
        <v>35</v>
      </c>
      <c r="B4" s="184" t="s">
        <v>8</v>
      </c>
      <c r="C4" s="185"/>
      <c r="D4" s="186"/>
      <c r="E4" s="65" t="s">
        <v>0</v>
      </c>
      <c r="F4" s="67"/>
      <c r="G4" s="190"/>
      <c r="H4" s="190"/>
      <c r="I4" s="190"/>
      <c r="J4" s="190"/>
      <c r="K4" s="190"/>
      <c r="L4" s="190"/>
      <c r="M4" s="190"/>
      <c r="N4" s="190"/>
      <c r="O4" s="190"/>
      <c r="P4" s="190"/>
      <c r="Q4" s="190"/>
      <c r="R4" s="190"/>
      <c r="S4" s="190"/>
      <c r="T4" s="190"/>
      <c r="U4" s="190"/>
      <c r="V4" s="190"/>
      <c r="W4" s="190"/>
      <c r="X4" s="190"/>
      <c r="Y4" s="190"/>
      <c r="Z4" s="190"/>
      <c r="AA4" s="190"/>
      <c r="AB4" s="190"/>
      <c r="AC4" s="190"/>
      <c r="AD4" s="190"/>
      <c r="AE4" s="191"/>
      <c r="AK4" s="1" t="s">
        <v>126</v>
      </c>
      <c r="AL4" s="1" t="s">
        <v>129</v>
      </c>
    </row>
    <row r="5" spans="1:38" ht="27.6" customHeight="1" x14ac:dyDescent="0.4">
      <c r="A5" s="199"/>
      <c r="B5" s="187"/>
      <c r="C5" s="188"/>
      <c r="D5" s="189"/>
      <c r="E5" s="65" t="s">
        <v>1</v>
      </c>
      <c r="F5" s="67"/>
      <c r="G5" s="136"/>
      <c r="H5" s="137"/>
      <c r="I5" s="137"/>
      <c r="J5" s="137"/>
      <c r="K5" s="137"/>
      <c r="L5" s="137"/>
      <c r="M5" s="137"/>
      <c r="N5" s="137"/>
      <c r="O5" s="137"/>
      <c r="P5" s="137"/>
      <c r="Q5" s="137"/>
      <c r="R5" s="137"/>
      <c r="S5" s="137"/>
      <c r="T5" s="137"/>
      <c r="U5" s="137"/>
      <c r="V5" s="137"/>
      <c r="W5" s="137"/>
      <c r="X5" s="137"/>
      <c r="Y5" s="137"/>
      <c r="Z5" s="137"/>
      <c r="AA5" s="137"/>
      <c r="AB5" s="137"/>
      <c r="AC5" s="137"/>
      <c r="AD5" s="137"/>
      <c r="AE5" s="192"/>
      <c r="AK5" s="1" t="s">
        <v>127</v>
      </c>
    </row>
    <row r="6" spans="1:38" ht="27.6" customHeight="1" x14ac:dyDescent="0.4">
      <c r="A6" s="199"/>
      <c r="B6" s="187"/>
      <c r="C6" s="188"/>
      <c r="D6" s="189"/>
      <c r="E6" s="65" t="s">
        <v>142</v>
      </c>
      <c r="F6" s="67"/>
      <c r="G6" s="174"/>
      <c r="H6" s="175"/>
      <c r="I6" s="175"/>
      <c r="J6" s="175"/>
      <c r="K6" s="175"/>
      <c r="L6" s="175"/>
      <c r="M6" s="175"/>
      <c r="N6" s="175"/>
      <c r="O6" s="175"/>
      <c r="P6" s="175"/>
      <c r="Q6" s="175"/>
      <c r="R6" s="175"/>
      <c r="S6" s="175"/>
      <c r="T6" s="175"/>
      <c r="U6" s="175"/>
      <c r="V6" s="175"/>
      <c r="W6" s="204"/>
      <c r="X6" s="65" t="s">
        <v>15</v>
      </c>
      <c r="Y6" s="66"/>
      <c r="Z6" s="67"/>
      <c r="AA6" s="139"/>
      <c r="AB6" s="140"/>
      <c r="AC6" s="25" t="s">
        <v>11</v>
      </c>
      <c r="AD6" s="195" t="s">
        <v>10</v>
      </c>
      <c r="AE6" s="196"/>
      <c r="AK6" s="1" t="s">
        <v>128</v>
      </c>
    </row>
    <row r="7" spans="1:38" ht="27.6" customHeight="1" x14ac:dyDescent="0.4">
      <c r="A7" s="199"/>
      <c r="B7" s="187"/>
      <c r="C7" s="188"/>
      <c r="D7" s="189"/>
      <c r="E7" s="65" t="s">
        <v>199</v>
      </c>
      <c r="F7" s="67"/>
      <c r="G7" s="205"/>
      <c r="H7" s="175"/>
      <c r="I7" s="175"/>
      <c r="J7" s="175"/>
      <c r="K7" s="175"/>
      <c r="L7" s="175"/>
      <c r="M7" s="175"/>
      <c r="N7" s="175"/>
      <c r="O7" s="175"/>
      <c r="P7" s="175"/>
      <c r="Q7" s="175"/>
      <c r="R7" s="175"/>
      <c r="S7" s="175"/>
      <c r="T7" s="175"/>
      <c r="U7" s="175"/>
      <c r="V7" s="175"/>
      <c r="W7" s="204"/>
      <c r="X7" s="65" t="s">
        <v>16</v>
      </c>
      <c r="Y7" s="66"/>
      <c r="Z7" s="67"/>
      <c r="AA7" s="23" t="s">
        <v>23</v>
      </c>
      <c r="AB7" s="203"/>
      <c r="AC7" s="203"/>
      <c r="AD7" s="3" t="s">
        <v>9</v>
      </c>
      <c r="AE7" s="4"/>
      <c r="AK7" s="1" t="s">
        <v>129</v>
      </c>
    </row>
    <row r="8" spans="1:38" ht="27.6" customHeight="1" x14ac:dyDescent="0.4">
      <c r="A8" s="199"/>
      <c r="B8" s="187"/>
      <c r="C8" s="188"/>
      <c r="D8" s="189"/>
      <c r="E8" s="65" t="s">
        <v>200</v>
      </c>
      <c r="F8" s="67"/>
      <c r="G8" s="174"/>
      <c r="H8" s="175"/>
      <c r="I8" s="175"/>
      <c r="J8" s="175"/>
      <c r="K8" s="175"/>
      <c r="L8" s="175"/>
      <c r="M8" s="175"/>
      <c r="N8" s="175"/>
      <c r="O8" s="175"/>
      <c r="P8" s="175"/>
      <c r="Q8" s="175"/>
      <c r="R8" s="175"/>
      <c r="S8" s="175"/>
      <c r="T8" s="175"/>
      <c r="U8" s="175"/>
      <c r="V8" s="175"/>
      <c r="W8" s="204"/>
      <c r="X8" s="65" t="s">
        <v>17</v>
      </c>
      <c r="Y8" s="66"/>
      <c r="Z8" s="67"/>
      <c r="AA8" s="193"/>
      <c r="AB8" s="194"/>
      <c r="AC8" s="8" t="s">
        <v>24</v>
      </c>
      <c r="AD8" s="8"/>
      <c r="AE8" s="9"/>
      <c r="AK8" s="1" t="s">
        <v>130</v>
      </c>
    </row>
    <row r="9" spans="1:38" ht="27.6" customHeight="1" x14ac:dyDescent="0.4">
      <c r="A9" s="199"/>
      <c r="B9" s="184" t="s">
        <v>5</v>
      </c>
      <c r="C9" s="185"/>
      <c r="D9" s="186"/>
      <c r="E9" s="68" t="s">
        <v>201</v>
      </c>
      <c r="F9" s="68"/>
      <c r="G9" s="68"/>
      <c r="H9" s="68"/>
      <c r="I9" s="68"/>
      <c r="J9" s="68"/>
      <c r="K9" s="68"/>
      <c r="L9" s="68"/>
      <c r="M9" s="68"/>
      <c r="N9" s="68"/>
      <c r="O9" s="68"/>
      <c r="P9" s="68"/>
      <c r="Q9" s="68"/>
      <c r="R9" s="68"/>
      <c r="S9" s="68"/>
      <c r="T9" s="68"/>
      <c r="U9" s="68"/>
      <c r="V9" s="68"/>
      <c r="W9" s="68"/>
      <c r="X9" s="65" t="s">
        <v>187</v>
      </c>
      <c r="Y9" s="66"/>
      <c r="Z9" s="67"/>
      <c r="AA9" s="168"/>
      <c r="AB9" s="169"/>
      <c r="AC9" s="169"/>
      <c r="AD9" s="169"/>
      <c r="AE9" s="170"/>
      <c r="AK9" s="1" t="s">
        <v>131</v>
      </c>
    </row>
    <row r="10" spans="1:38" ht="27.6" customHeight="1" x14ac:dyDescent="0.4">
      <c r="A10" s="199"/>
      <c r="B10" s="71"/>
      <c r="C10" s="72"/>
      <c r="D10" s="197"/>
      <c r="E10" s="71" t="s">
        <v>133</v>
      </c>
      <c r="F10" s="197"/>
      <c r="G10" s="65"/>
      <c r="H10" s="66"/>
      <c r="I10" s="66"/>
      <c r="J10" s="66"/>
      <c r="K10" s="66"/>
      <c r="L10" s="66"/>
      <c r="M10" s="66"/>
      <c r="N10" s="66"/>
      <c r="O10" s="66"/>
      <c r="P10" s="66"/>
      <c r="Q10" s="66"/>
      <c r="R10" s="66"/>
      <c r="S10" s="66"/>
      <c r="T10" s="66"/>
      <c r="U10" s="66"/>
      <c r="V10" s="66"/>
      <c r="W10" s="67"/>
      <c r="X10" s="65" t="s">
        <v>188</v>
      </c>
      <c r="Y10" s="66"/>
      <c r="Z10" s="67"/>
      <c r="AA10" s="168" t="s">
        <v>198</v>
      </c>
      <c r="AB10" s="169"/>
      <c r="AC10" s="169"/>
      <c r="AD10" s="169"/>
      <c r="AE10" s="170"/>
      <c r="AK10" s="1" t="s">
        <v>132</v>
      </c>
    </row>
    <row r="11" spans="1:38" ht="27.6" customHeight="1" x14ac:dyDescent="0.4">
      <c r="A11" s="199"/>
      <c r="B11" s="184" t="s">
        <v>113</v>
      </c>
      <c r="C11" s="185"/>
      <c r="D11" s="186"/>
      <c r="E11" s="65" t="s">
        <v>20</v>
      </c>
      <c r="F11" s="67"/>
      <c r="G11" s="65"/>
      <c r="H11" s="66"/>
      <c r="I11" s="66"/>
      <c r="J11" s="66"/>
      <c r="K11" s="66"/>
      <c r="L11" s="66"/>
      <c r="M11" s="66"/>
      <c r="N11" s="66"/>
      <c r="O11" s="66"/>
      <c r="P11" s="66"/>
      <c r="Q11" s="66"/>
      <c r="R11" s="66"/>
      <c r="S11" s="66"/>
      <c r="T11" s="66"/>
      <c r="U11" s="66"/>
      <c r="V11" s="66"/>
      <c r="W11" s="67"/>
      <c r="X11" s="65" t="s">
        <v>19</v>
      </c>
      <c r="Y11" s="66"/>
      <c r="Z11" s="67"/>
      <c r="AA11" s="174"/>
      <c r="AB11" s="175"/>
      <c r="AC11" s="175"/>
      <c r="AD11" s="175"/>
      <c r="AE11" s="176"/>
    </row>
    <row r="12" spans="1:38" ht="55.2" customHeight="1" x14ac:dyDescent="0.4">
      <c r="A12" s="199"/>
      <c r="B12" s="187"/>
      <c r="C12" s="188"/>
      <c r="D12" s="189"/>
      <c r="E12" s="65" t="s">
        <v>3</v>
      </c>
      <c r="F12" s="67"/>
      <c r="G12" s="65"/>
      <c r="H12" s="66"/>
      <c r="I12" s="66"/>
      <c r="J12" s="66"/>
      <c r="K12" s="66"/>
      <c r="L12" s="66"/>
      <c r="M12" s="66"/>
      <c r="N12" s="66"/>
      <c r="O12" s="66"/>
      <c r="P12" s="66"/>
      <c r="Q12" s="66"/>
      <c r="R12" s="66"/>
      <c r="S12" s="66"/>
      <c r="T12" s="66"/>
      <c r="U12" s="66"/>
      <c r="V12" s="66"/>
      <c r="W12" s="67"/>
      <c r="X12" s="65" t="s">
        <v>66</v>
      </c>
      <c r="Y12" s="66"/>
      <c r="Z12" s="67"/>
      <c r="AA12" s="168" t="s">
        <v>67</v>
      </c>
      <c r="AB12" s="169"/>
      <c r="AC12" s="169"/>
      <c r="AD12" s="169"/>
      <c r="AE12" s="170"/>
    </row>
    <row r="13" spans="1:38" ht="27.6" customHeight="1" x14ac:dyDescent="0.4">
      <c r="A13" s="199"/>
      <c r="B13" s="187"/>
      <c r="C13" s="188"/>
      <c r="D13" s="189"/>
      <c r="E13" s="65" t="s">
        <v>18</v>
      </c>
      <c r="F13" s="67"/>
      <c r="G13" s="65"/>
      <c r="H13" s="66"/>
      <c r="I13" s="66"/>
      <c r="J13" s="66"/>
      <c r="K13" s="66"/>
      <c r="L13" s="66"/>
      <c r="M13" s="66"/>
      <c r="N13" s="66"/>
      <c r="O13" s="66"/>
      <c r="P13" s="66"/>
      <c r="Q13" s="66"/>
      <c r="R13" s="66"/>
      <c r="S13" s="66"/>
      <c r="T13" s="66"/>
      <c r="U13" s="66"/>
      <c r="V13" s="66"/>
      <c r="W13" s="67"/>
      <c r="X13" s="65" t="s">
        <v>190</v>
      </c>
      <c r="Y13" s="66"/>
      <c r="Z13" s="67"/>
      <c r="AA13" s="168"/>
      <c r="AB13" s="169"/>
      <c r="AC13" s="169"/>
      <c r="AD13" s="169"/>
      <c r="AE13" s="170"/>
    </row>
    <row r="14" spans="1:38" ht="27.6" customHeight="1" x14ac:dyDescent="0.4">
      <c r="A14" s="199"/>
      <c r="B14" s="187"/>
      <c r="C14" s="188"/>
      <c r="D14" s="189"/>
      <c r="E14" s="65" t="s">
        <v>189</v>
      </c>
      <c r="F14" s="67"/>
      <c r="G14" s="65"/>
      <c r="H14" s="66"/>
      <c r="I14" s="66"/>
      <c r="J14" s="66"/>
      <c r="K14" s="66"/>
      <c r="L14" s="66"/>
      <c r="M14" s="66"/>
      <c r="N14" s="66"/>
      <c r="O14" s="66"/>
      <c r="P14" s="66"/>
      <c r="Q14" s="66"/>
      <c r="R14" s="66"/>
      <c r="S14" s="66"/>
      <c r="T14" s="66"/>
      <c r="U14" s="66"/>
      <c r="V14" s="66"/>
      <c r="W14" s="67"/>
      <c r="X14" s="65" t="s">
        <v>69</v>
      </c>
      <c r="Y14" s="66"/>
      <c r="Z14" s="67"/>
      <c r="AA14" s="168"/>
      <c r="AB14" s="169"/>
      <c r="AC14" s="169"/>
      <c r="AD14" s="169"/>
      <c r="AE14" s="170"/>
    </row>
    <row r="15" spans="1:38" ht="33" customHeight="1" x14ac:dyDescent="0.4">
      <c r="A15" s="199"/>
      <c r="B15" s="187"/>
      <c r="C15" s="188"/>
      <c r="D15" s="189"/>
      <c r="E15" s="65" t="s">
        <v>210</v>
      </c>
      <c r="F15" s="67"/>
      <c r="G15" s="65"/>
      <c r="H15" s="66"/>
      <c r="I15" s="66"/>
      <c r="J15" s="66"/>
      <c r="K15" s="66"/>
      <c r="L15" s="66"/>
      <c r="M15" s="66"/>
      <c r="N15" s="66"/>
      <c r="O15" s="66"/>
      <c r="P15" s="66"/>
      <c r="Q15" s="66"/>
      <c r="R15" s="66"/>
      <c r="S15" s="66"/>
      <c r="T15" s="66"/>
      <c r="U15" s="66"/>
      <c r="V15" s="66"/>
      <c r="W15" s="67"/>
      <c r="X15" s="65" t="s">
        <v>68</v>
      </c>
      <c r="Y15" s="66"/>
      <c r="Z15" s="67"/>
      <c r="AA15" s="255"/>
      <c r="AB15" s="255"/>
      <c r="AC15" s="255"/>
      <c r="AD15" s="255"/>
      <c r="AE15" s="256"/>
    </row>
    <row r="16" spans="1:38" ht="27.6" customHeight="1" x14ac:dyDescent="0.4">
      <c r="A16" s="199"/>
      <c r="B16" s="187"/>
      <c r="C16" s="188"/>
      <c r="D16" s="189"/>
      <c r="E16" s="65" t="s">
        <v>218</v>
      </c>
      <c r="F16" s="67"/>
      <c r="G16" s="65"/>
      <c r="H16" s="66"/>
      <c r="I16" s="66"/>
      <c r="J16" s="66"/>
      <c r="K16" s="66"/>
      <c r="L16" s="66"/>
      <c r="M16" s="66"/>
      <c r="N16" s="66"/>
      <c r="O16" s="66"/>
      <c r="P16" s="66"/>
      <c r="Q16" s="66"/>
      <c r="R16" s="66"/>
      <c r="S16" s="66"/>
      <c r="T16" s="66"/>
      <c r="U16" s="66"/>
      <c r="V16" s="66"/>
      <c r="W16" s="67"/>
      <c r="X16" s="184" t="s">
        <v>191</v>
      </c>
      <c r="Y16" s="185"/>
      <c r="Z16" s="186"/>
      <c r="AA16" s="174"/>
      <c r="AB16" s="175"/>
      <c r="AC16" s="175"/>
      <c r="AD16" s="175"/>
      <c r="AE16" s="176"/>
    </row>
    <row r="17" spans="1:31" ht="27.6" customHeight="1" x14ac:dyDescent="0.4">
      <c r="A17" s="199"/>
      <c r="B17" s="187"/>
      <c r="C17" s="188"/>
      <c r="D17" s="189"/>
      <c r="E17" s="184" t="s">
        <v>209</v>
      </c>
      <c r="F17" s="186"/>
      <c r="G17" s="250" t="s">
        <v>195</v>
      </c>
      <c r="H17" s="248"/>
      <c r="I17" s="248"/>
      <c r="J17" s="248"/>
      <c r="K17" s="248"/>
      <c r="L17" s="248"/>
      <c r="M17" s="248"/>
      <c r="N17" s="248"/>
      <c r="O17" s="248"/>
      <c r="P17" s="248"/>
      <c r="Q17" s="248"/>
      <c r="R17" s="248"/>
      <c r="S17" s="248"/>
      <c r="T17" s="248"/>
      <c r="U17" s="248"/>
      <c r="V17" s="248"/>
      <c r="W17" s="251"/>
      <c r="X17" s="187"/>
      <c r="Y17" s="188"/>
      <c r="Z17" s="189"/>
      <c r="AA17" s="56"/>
      <c r="AB17" s="8"/>
      <c r="AC17" s="248" t="s">
        <v>193</v>
      </c>
      <c r="AD17" s="248"/>
      <c r="AE17" s="249"/>
    </row>
    <row r="18" spans="1:31" ht="27.6" customHeight="1" x14ac:dyDescent="0.4">
      <c r="A18" s="199"/>
      <c r="B18" s="187"/>
      <c r="C18" s="188"/>
      <c r="D18" s="189"/>
      <c r="E18" s="187"/>
      <c r="F18" s="189"/>
      <c r="G18" s="250" t="s">
        <v>196</v>
      </c>
      <c r="H18" s="248"/>
      <c r="I18" s="248"/>
      <c r="J18" s="248"/>
      <c r="K18" s="248"/>
      <c r="L18" s="248"/>
      <c r="M18" s="248"/>
      <c r="N18" s="248"/>
      <c r="O18" s="248"/>
      <c r="P18" s="248"/>
      <c r="Q18" s="248"/>
      <c r="R18" s="248"/>
      <c r="S18" s="248"/>
      <c r="T18" s="248"/>
      <c r="U18" s="248"/>
      <c r="V18" s="248"/>
      <c r="W18" s="251"/>
      <c r="X18" s="71"/>
      <c r="Y18" s="72"/>
      <c r="Z18" s="197"/>
      <c r="AA18" s="174"/>
      <c r="AB18" s="175"/>
      <c r="AC18" s="175"/>
      <c r="AD18" s="175"/>
      <c r="AE18" s="176"/>
    </row>
    <row r="19" spans="1:31" ht="27.6" customHeight="1" x14ac:dyDescent="0.4">
      <c r="A19" s="199"/>
      <c r="B19" s="71"/>
      <c r="C19" s="72"/>
      <c r="D19" s="197"/>
      <c r="E19" s="71"/>
      <c r="F19" s="197"/>
      <c r="G19" s="250" t="s">
        <v>197</v>
      </c>
      <c r="H19" s="248"/>
      <c r="I19" s="248"/>
      <c r="J19" s="248"/>
      <c r="K19" s="248"/>
      <c r="L19" s="248"/>
      <c r="M19" s="248"/>
      <c r="N19" s="248"/>
      <c r="O19" s="248"/>
      <c r="P19" s="248"/>
      <c r="Q19" s="248"/>
      <c r="R19" s="248"/>
      <c r="S19" s="248"/>
      <c r="T19" s="248"/>
      <c r="U19" s="248"/>
      <c r="V19" s="248"/>
      <c r="W19" s="251"/>
      <c r="X19" s="65" t="s">
        <v>119</v>
      </c>
      <c r="Y19" s="66"/>
      <c r="Z19" s="67"/>
      <c r="AA19" s="252"/>
      <c r="AB19" s="253"/>
      <c r="AC19" s="253"/>
      <c r="AD19" s="254"/>
      <c r="AE19" s="57" t="s">
        <v>184</v>
      </c>
    </row>
    <row r="20" spans="1:31" ht="27.6" customHeight="1" x14ac:dyDescent="0.4">
      <c r="A20" s="199"/>
      <c r="B20" s="65" t="s">
        <v>121</v>
      </c>
      <c r="C20" s="66"/>
      <c r="D20" s="67"/>
      <c r="E20" s="65" t="s">
        <v>122</v>
      </c>
      <c r="F20" s="67"/>
      <c r="G20" s="65"/>
      <c r="H20" s="66"/>
      <c r="I20" s="66"/>
      <c r="J20" s="66"/>
      <c r="K20" s="66"/>
      <c r="L20" s="67"/>
      <c r="M20" s="68" t="s">
        <v>124</v>
      </c>
      <c r="N20" s="68"/>
      <c r="O20" s="68"/>
      <c r="P20" s="65"/>
      <c r="Q20" s="66"/>
      <c r="R20" s="66"/>
      <c r="S20" s="66"/>
      <c r="T20" s="66"/>
      <c r="U20" s="66"/>
      <c r="V20" s="66"/>
      <c r="W20" s="67"/>
      <c r="X20" s="65" t="s">
        <v>123</v>
      </c>
      <c r="Y20" s="66"/>
      <c r="Z20" s="67"/>
      <c r="AA20" s="174"/>
      <c r="AB20" s="175"/>
      <c r="AC20" s="175"/>
      <c r="AD20" s="175"/>
      <c r="AE20" s="176"/>
    </row>
    <row r="21" spans="1:31" ht="27.6" customHeight="1" x14ac:dyDescent="0.4">
      <c r="A21" s="199"/>
      <c r="B21" s="65" t="s">
        <v>64</v>
      </c>
      <c r="C21" s="66"/>
      <c r="D21" s="67"/>
      <c r="E21" s="65" t="s">
        <v>185</v>
      </c>
      <c r="F21" s="67"/>
      <c r="G21" s="238"/>
      <c r="H21" s="239"/>
      <c r="I21" s="239"/>
      <c r="J21" s="239"/>
      <c r="K21" s="239"/>
      <c r="L21" s="239"/>
      <c r="M21" s="239"/>
      <c r="N21" s="239"/>
      <c r="O21" s="239"/>
      <c r="P21" s="239"/>
      <c r="Q21" s="239"/>
      <c r="R21" s="239"/>
      <c r="S21" s="239"/>
      <c r="T21" s="239"/>
      <c r="U21" s="239"/>
      <c r="V21" s="239"/>
      <c r="W21" s="239"/>
      <c r="X21" s="239"/>
      <c r="Y21" s="239"/>
      <c r="Z21" s="239"/>
      <c r="AA21" s="239"/>
      <c r="AB21" s="239"/>
      <c r="AC21" s="239"/>
      <c r="AD21" s="239"/>
      <c r="AE21" s="240"/>
    </row>
    <row r="22" spans="1:31" ht="27.6" customHeight="1" x14ac:dyDescent="0.4">
      <c r="A22" s="199"/>
      <c r="B22" s="74" t="s">
        <v>25</v>
      </c>
      <c r="C22" s="75"/>
      <c r="D22" s="76"/>
      <c r="E22" s="177" t="s">
        <v>91</v>
      </c>
      <c r="F22" s="178"/>
      <c r="G22" s="178"/>
      <c r="H22" s="178"/>
      <c r="I22" s="178"/>
      <c r="J22" s="177" t="s">
        <v>82</v>
      </c>
      <c r="K22" s="178"/>
      <c r="L22" s="178"/>
      <c r="M22" s="178"/>
      <c r="N22" s="178"/>
      <c r="O22" s="178"/>
      <c r="P22" s="178"/>
      <c r="Q22" s="179"/>
      <c r="R22" s="177" t="s">
        <v>80</v>
      </c>
      <c r="S22" s="178"/>
      <c r="T22" s="178"/>
      <c r="U22" s="178"/>
      <c r="V22" s="178"/>
      <c r="W22" s="178"/>
      <c r="X22" s="179"/>
      <c r="Y22" s="178" t="s">
        <v>78</v>
      </c>
      <c r="Z22" s="179"/>
      <c r="AA22" s="177" t="s">
        <v>7</v>
      </c>
      <c r="AB22" s="178"/>
      <c r="AC22" s="178"/>
      <c r="AD22" s="178"/>
      <c r="AE22" s="225"/>
    </row>
    <row r="23" spans="1:31" ht="27.6" customHeight="1" x14ac:dyDescent="0.4">
      <c r="A23" s="199"/>
      <c r="B23" s="77"/>
      <c r="C23" s="78"/>
      <c r="D23" s="79"/>
      <c r="E23" s="93"/>
      <c r="F23" s="94"/>
      <c r="G23" s="94"/>
      <c r="H23" s="94"/>
      <c r="I23" s="31" t="s">
        <v>81</v>
      </c>
      <c r="J23" s="181"/>
      <c r="K23" s="182"/>
      <c r="L23" s="182"/>
      <c r="M23" s="182"/>
      <c r="N23" s="182"/>
      <c r="O23" s="182"/>
      <c r="P23" s="182"/>
      <c r="Q23" s="183"/>
      <c r="R23" s="91"/>
      <c r="S23" s="92"/>
      <c r="T23" s="92"/>
      <c r="U23" s="92"/>
      <c r="V23" s="92"/>
      <c r="W23" s="92"/>
      <c r="X23" s="30" t="s">
        <v>79</v>
      </c>
      <c r="Y23" s="172"/>
      <c r="Z23" s="180"/>
      <c r="AA23" s="171"/>
      <c r="AB23" s="172"/>
      <c r="AC23" s="172"/>
      <c r="AD23" s="172"/>
      <c r="AE23" s="173"/>
    </row>
    <row r="24" spans="1:31" ht="27.6" customHeight="1" x14ac:dyDescent="0.4">
      <c r="A24" s="199"/>
      <c r="B24" s="77"/>
      <c r="C24" s="78"/>
      <c r="D24" s="79"/>
      <c r="E24" s="93"/>
      <c r="F24" s="94"/>
      <c r="G24" s="94"/>
      <c r="H24" s="94"/>
      <c r="I24" s="31" t="s">
        <v>81</v>
      </c>
      <c r="J24" s="181"/>
      <c r="K24" s="182"/>
      <c r="L24" s="182"/>
      <c r="M24" s="182"/>
      <c r="N24" s="182"/>
      <c r="O24" s="182"/>
      <c r="P24" s="182"/>
      <c r="Q24" s="183"/>
      <c r="R24" s="91"/>
      <c r="S24" s="92"/>
      <c r="T24" s="92"/>
      <c r="U24" s="92"/>
      <c r="V24" s="92"/>
      <c r="W24" s="92"/>
      <c r="X24" s="30" t="s">
        <v>79</v>
      </c>
      <c r="Y24" s="172"/>
      <c r="Z24" s="180"/>
      <c r="AA24" s="171"/>
      <c r="AB24" s="172"/>
      <c r="AC24" s="172"/>
      <c r="AD24" s="172"/>
      <c r="AE24" s="173"/>
    </row>
    <row r="25" spans="1:31" ht="27.6" customHeight="1" x14ac:dyDescent="0.4">
      <c r="A25" s="199"/>
      <c r="B25" s="77"/>
      <c r="C25" s="78"/>
      <c r="D25" s="79"/>
      <c r="E25" s="93"/>
      <c r="F25" s="94"/>
      <c r="G25" s="94"/>
      <c r="H25" s="94"/>
      <c r="I25" s="31" t="s">
        <v>81</v>
      </c>
      <c r="J25" s="181"/>
      <c r="K25" s="182"/>
      <c r="L25" s="182"/>
      <c r="M25" s="182"/>
      <c r="N25" s="182"/>
      <c r="O25" s="182"/>
      <c r="P25" s="182"/>
      <c r="Q25" s="183"/>
      <c r="R25" s="91"/>
      <c r="S25" s="92"/>
      <c r="T25" s="92"/>
      <c r="U25" s="92"/>
      <c r="V25" s="92"/>
      <c r="W25" s="92"/>
      <c r="X25" s="30" t="s">
        <v>79</v>
      </c>
      <c r="Y25" s="172"/>
      <c r="Z25" s="180"/>
      <c r="AA25" s="171"/>
      <c r="AB25" s="172"/>
      <c r="AC25" s="172"/>
      <c r="AD25" s="172"/>
      <c r="AE25" s="173"/>
    </row>
    <row r="26" spans="1:31" ht="27.6" customHeight="1" x14ac:dyDescent="0.4">
      <c r="A26" s="199"/>
      <c r="B26" s="77"/>
      <c r="C26" s="78"/>
      <c r="D26" s="79"/>
      <c r="E26" s="93"/>
      <c r="F26" s="94"/>
      <c r="G26" s="94"/>
      <c r="H26" s="94"/>
      <c r="I26" s="31" t="s">
        <v>81</v>
      </c>
      <c r="J26" s="181"/>
      <c r="K26" s="182"/>
      <c r="L26" s="182"/>
      <c r="M26" s="182"/>
      <c r="N26" s="182"/>
      <c r="O26" s="182"/>
      <c r="P26" s="182"/>
      <c r="Q26" s="183"/>
      <c r="R26" s="91"/>
      <c r="S26" s="92"/>
      <c r="T26" s="92"/>
      <c r="U26" s="92"/>
      <c r="V26" s="92"/>
      <c r="W26" s="92"/>
      <c r="X26" s="30" t="s">
        <v>79</v>
      </c>
      <c r="Y26" s="172"/>
      <c r="Z26" s="180"/>
      <c r="AA26" s="171"/>
      <c r="AB26" s="172"/>
      <c r="AC26" s="172"/>
      <c r="AD26" s="172"/>
      <c r="AE26" s="173"/>
    </row>
    <row r="27" spans="1:31" ht="27.6" customHeight="1" x14ac:dyDescent="0.4">
      <c r="A27" s="199"/>
      <c r="B27" s="77"/>
      <c r="C27" s="78"/>
      <c r="D27" s="79"/>
      <c r="E27" s="93"/>
      <c r="F27" s="94"/>
      <c r="G27" s="94"/>
      <c r="H27" s="94"/>
      <c r="I27" s="31" t="s">
        <v>81</v>
      </c>
      <c r="J27" s="181"/>
      <c r="K27" s="182"/>
      <c r="L27" s="182"/>
      <c r="M27" s="182"/>
      <c r="N27" s="182"/>
      <c r="O27" s="182"/>
      <c r="P27" s="182"/>
      <c r="Q27" s="183"/>
      <c r="R27" s="91"/>
      <c r="S27" s="92"/>
      <c r="T27" s="92"/>
      <c r="U27" s="92"/>
      <c r="V27" s="92"/>
      <c r="W27" s="92"/>
      <c r="X27" s="30" t="s">
        <v>79</v>
      </c>
      <c r="Y27" s="172"/>
      <c r="Z27" s="180"/>
      <c r="AA27" s="171"/>
      <c r="AB27" s="172"/>
      <c r="AC27" s="172"/>
      <c r="AD27" s="172"/>
      <c r="AE27" s="173"/>
    </row>
    <row r="28" spans="1:31" ht="27.6" customHeight="1" x14ac:dyDescent="0.4">
      <c r="A28" s="199"/>
      <c r="B28" s="109"/>
      <c r="C28" s="99"/>
      <c r="D28" s="110"/>
      <c r="E28" s="93"/>
      <c r="F28" s="94"/>
      <c r="G28" s="94"/>
      <c r="H28" s="94"/>
      <c r="I28" s="31" t="s">
        <v>81</v>
      </c>
      <c r="J28" s="181"/>
      <c r="K28" s="182"/>
      <c r="L28" s="182"/>
      <c r="M28" s="182"/>
      <c r="N28" s="182"/>
      <c r="O28" s="182"/>
      <c r="P28" s="182"/>
      <c r="Q28" s="183"/>
      <c r="R28" s="91"/>
      <c r="S28" s="92"/>
      <c r="T28" s="92"/>
      <c r="U28" s="92"/>
      <c r="V28" s="92"/>
      <c r="W28" s="92"/>
      <c r="X28" s="30" t="s">
        <v>79</v>
      </c>
      <c r="Y28" s="172"/>
      <c r="Z28" s="180"/>
      <c r="AA28" s="171"/>
      <c r="AB28" s="172"/>
      <c r="AC28" s="172"/>
      <c r="AD28" s="172"/>
      <c r="AE28" s="173"/>
    </row>
    <row r="29" spans="1:31" ht="27.6" customHeight="1" x14ac:dyDescent="0.4">
      <c r="A29" s="199"/>
      <c r="B29" s="65" t="s">
        <v>202</v>
      </c>
      <c r="C29" s="66"/>
      <c r="D29" s="67"/>
      <c r="E29" s="68" t="s">
        <v>203</v>
      </c>
      <c r="F29" s="68"/>
      <c r="G29" s="68"/>
      <c r="H29" s="68"/>
      <c r="I29" s="68"/>
      <c r="J29" s="193"/>
      <c r="K29" s="194"/>
      <c r="L29" s="194"/>
      <c r="M29" s="194"/>
      <c r="N29" s="194"/>
      <c r="O29" s="239" t="s">
        <v>183</v>
      </c>
      <c r="P29" s="239"/>
      <c r="Q29" s="241"/>
      <c r="R29" s="68"/>
      <c r="S29" s="68"/>
      <c r="T29" s="68"/>
      <c r="U29" s="68"/>
      <c r="V29" s="68"/>
      <c r="W29" s="68"/>
      <c r="X29" s="68"/>
      <c r="Y29" s="65"/>
      <c r="Z29" s="67"/>
      <c r="AA29" s="65"/>
      <c r="AB29" s="66"/>
      <c r="AC29" s="66"/>
      <c r="AD29" s="66"/>
      <c r="AE29" s="216"/>
    </row>
    <row r="30" spans="1:31" ht="399" customHeight="1" x14ac:dyDescent="0.4">
      <c r="A30" s="199"/>
      <c r="B30" s="65" t="s">
        <v>63</v>
      </c>
      <c r="C30" s="66"/>
      <c r="D30" s="67"/>
      <c r="E30" s="200"/>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2"/>
    </row>
    <row r="31" spans="1:31" ht="27.6" customHeight="1" x14ac:dyDescent="0.4">
      <c r="A31" s="46"/>
      <c r="B31" s="74" t="s">
        <v>114</v>
      </c>
      <c r="C31" s="75"/>
      <c r="D31" s="76"/>
      <c r="E31" s="80" t="s">
        <v>229</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2"/>
    </row>
    <row r="32" spans="1:31" ht="27.6" customHeight="1" x14ac:dyDescent="0.4">
      <c r="A32" s="46"/>
      <c r="B32" s="77"/>
      <c r="C32" s="78"/>
      <c r="D32" s="79"/>
      <c r="E32" s="80" t="s">
        <v>230</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2"/>
    </row>
    <row r="33" spans="1:35" ht="27.6" customHeight="1" x14ac:dyDescent="0.4">
      <c r="A33" s="46"/>
      <c r="B33" s="77"/>
      <c r="C33" s="78"/>
      <c r="D33" s="79"/>
      <c r="E33" s="80" t="inlineStr">
        <is>
          <t xml:space="preserve">   ▣ 출연 : </t>
        </is>
      </c>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2"/>
    </row>
    <row r="34" spans="1:35" ht="27.6" customHeight="1" x14ac:dyDescent="0.4">
      <c r="A34" s="46"/>
      <c r="B34" s="74" t="s">
        <v>115</v>
      </c>
      <c r="C34" s="75"/>
      <c r="D34" s="76"/>
      <c r="E34" s="80" t="s">
        <v>231</v>
      </c>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2"/>
    </row>
    <row r="35" spans="1:35" ht="27.6" customHeight="1" x14ac:dyDescent="0.4">
      <c r="A35" s="46"/>
      <c r="B35" s="77"/>
      <c r="C35" s="78"/>
      <c r="D35" s="79"/>
      <c r="E35" s="80" t="s">
        <v>232</v>
      </c>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2"/>
    </row>
    <row r="36" spans="1:35" ht="27.6" customHeight="1" x14ac:dyDescent="0.4">
      <c r="A36" s="46"/>
      <c r="B36" s="77"/>
      <c r="C36" s="78"/>
      <c r="D36" s="79"/>
      <c r="E36" s="80" t="inlineStr">
        <is>
          <t xml:space="preserve">   ▣ 후원 : </t>
        </is>
      </c>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2"/>
    </row>
    <row r="37" spans="1:35" ht="27.6" customHeight="1" x14ac:dyDescent="0.4">
      <c r="A37" s="46"/>
      <c r="B37" s="77"/>
      <c r="C37" s="78"/>
      <c r="D37" s="79"/>
      <c r="E37" s="83" t="s">
        <v>233</v>
      </c>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5"/>
    </row>
    <row r="38" spans="1:35" ht="27.6" customHeight="1" x14ac:dyDescent="0.4">
      <c r="A38" s="98" t="s">
        <v>111</v>
      </c>
      <c r="B38" s="235" t="s">
        <v>2</v>
      </c>
      <c r="C38" s="236"/>
      <c r="D38" s="237"/>
      <c r="E38" s="229" t="s">
        <v>234</v>
      </c>
      <c r="F38" s="230"/>
      <c r="G38" s="230"/>
      <c r="H38" s="230"/>
      <c r="I38" s="231"/>
      <c r="J38" s="221" t="s">
        <v>26</v>
      </c>
      <c r="K38" s="222"/>
      <c r="L38" s="222"/>
      <c r="M38" s="222"/>
      <c r="N38" s="223"/>
      <c r="O38" s="222" t="s">
        <v>235</v>
      </c>
      <c r="P38" s="222"/>
      <c r="Q38" s="222"/>
      <c r="R38" s="222"/>
      <c r="S38" s="222"/>
      <c r="T38" s="222"/>
      <c r="U38" s="222"/>
      <c r="V38" s="222"/>
      <c r="W38" s="223"/>
      <c r="X38" s="221" t="s">
        <v>27</v>
      </c>
      <c r="Y38" s="222"/>
      <c r="Z38" s="223"/>
      <c r="AA38" s="221" t="s">
        <v>236</v>
      </c>
      <c r="AB38" s="222"/>
      <c r="AC38" s="222"/>
      <c r="AD38" s="222"/>
      <c r="AE38" s="224"/>
    </row>
    <row r="39" spans="1:35" ht="27.6" customHeight="1" x14ac:dyDescent="0.4">
      <c r="A39" s="78"/>
      <c r="B39" s="86" t="s">
        <v>12</v>
      </c>
      <c r="C39" s="87"/>
      <c r="D39" s="88"/>
      <c r="E39" s="111" t="s">
        <v>238</v>
      </c>
      <c r="F39" s="112"/>
      <c r="G39" s="112"/>
      <c r="H39" s="112"/>
      <c r="I39" s="118"/>
      <c r="J39" s="218" t="s">
        <v>28</v>
      </c>
      <c r="K39" s="207"/>
      <c r="L39" s="207"/>
      <c r="M39" s="207"/>
      <c r="N39" s="219"/>
      <c r="O39" s="89" t="inlineStr">
        <is>
          <t xml:space="preserve">사무실: 061-808-7003
휴대폰: </t>
        </is>
      </c>
      <c r="P39" s="89"/>
      <c r="Q39" s="89"/>
      <c r="R39" s="89"/>
      <c r="S39" s="89"/>
      <c r="T39" s="89"/>
      <c r="U39" s="89"/>
      <c r="V39" s="89"/>
      <c r="W39" s="90"/>
      <c r="X39" s="218" t="s">
        <v>29</v>
      </c>
      <c r="Y39" s="207"/>
      <c r="Z39" s="219"/>
      <c r="AA39" s="217"/>
      <c r="AB39" s="207"/>
      <c r="AC39" s="207"/>
      <c r="AD39" s="207"/>
      <c r="AE39" s="208"/>
    </row>
    <row r="40" spans="1:35" ht="27.6" customHeight="1" x14ac:dyDescent="0.4">
      <c r="A40" s="78"/>
      <c r="B40" s="86" t="s">
        <v>14</v>
      </c>
      <c r="C40" s="87"/>
      <c r="D40" s="88"/>
      <c r="E40" s="111" t="s">
        <v>237</v>
      </c>
      <c r="F40" s="112"/>
      <c r="G40" s="112"/>
      <c r="H40" s="112"/>
      <c r="I40" s="118"/>
      <c r="J40" s="218" t="s">
        <v>28</v>
      </c>
      <c r="K40" s="207"/>
      <c r="L40" s="207"/>
      <c r="M40" s="207"/>
      <c r="N40" s="219"/>
      <c r="O40" s="89" t="inlineStr">
        <is>
          <t xml:space="preserve">사무실: 061-808-7007
휴대폰: </t>
        </is>
      </c>
      <c r="P40" s="89"/>
      <c r="Q40" s="89"/>
      <c r="R40" s="89"/>
      <c r="S40" s="89"/>
      <c r="T40" s="89"/>
      <c r="U40" s="89"/>
      <c r="V40" s="89"/>
      <c r="W40" s="90"/>
      <c r="X40" s="218" t="s">
        <v>29</v>
      </c>
      <c r="Y40" s="207"/>
      <c r="Z40" s="219"/>
      <c r="AA40" s="206"/>
      <c r="AB40" s="207"/>
      <c r="AC40" s="207"/>
      <c r="AD40" s="207"/>
      <c r="AE40" s="208"/>
    </row>
    <row r="41" spans="1:35" ht="27.6" customHeight="1" x14ac:dyDescent="0.4">
      <c r="A41" s="78"/>
      <c r="B41" s="218" t="s">
        <v>13</v>
      </c>
      <c r="C41" s="207"/>
      <c r="D41" s="219"/>
      <c r="E41" s="111" t="s">
        <v>243</v>
      </c>
      <c r="F41" s="112"/>
      <c r="G41" s="112"/>
      <c r="H41" s="112"/>
      <c r="I41" s="118"/>
      <c r="J41" s="86" t="s">
        <v>30</v>
      </c>
      <c r="K41" s="87"/>
      <c r="L41" s="87"/>
      <c r="M41" s="87"/>
      <c r="N41" s="88"/>
      <c r="O41" s="232" t="s">
        <v>244</v>
      </c>
      <c r="P41" s="233"/>
      <c r="Q41" s="233"/>
      <c r="R41" s="233"/>
      <c r="S41" s="233"/>
      <c r="T41" s="233"/>
      <c r="U41" s="233"/>
      <c r="V41" s="233"/>
      <c r="W41" s="234"/>
      <c r="X41" s="218" t="s">
        <v>31</v>
      </c>
      <c r="Y41" s="207"/>
      <c r="Z41" s="219"/>
      <c r="AA41" s="112" t="s">
        <v>244</v>
      </c>
      <c r="AB41" s="112"/>
      <c r="AC41" s="112"/>
      <c r="AD41" s="112"/>
      <c r="AE41" s="220"/>
    </row>
    <row r="42" spans="1:35" ht="27.6" customHeight="1" x14ac:dyDescent="0.4">
      <c r="A42" s="78"/>
      <c r="B42" s="226" t="s">
        <v>32</v>
      </c>
      <c r="C42" s="227"/>
      <c r="D42" s="228"/>
      <c r="E42" s="209" t="s">
        <v>245</v>
      </c>
      <c r="F42" s="210"/>
      <c r="G42" s="210"/>
      <c r="H42" s="210"/>
      <c r="I42" s="210"/>
      <c r="J42" s="210"/>
      <c r="K42" s="210"/>
      <c r="L42" s="210"/>
      <c r="M42" s="210"/>
      <c r="N42" s="210"/>
      <c r="O42" s="210"/>
      <c r="P42" s="210"/>
      <c r="Q42" s="210"/>
      <c r="R42" s="210"/>
      <c r="S42" s="210"/>
      <c r="T42" s="210"/>
      <c r="U42" s="210"/>
      <c r="V42" s="210"/>
      <c r="W42" s="211"/>
      <c r="X42" s="212" t="s">
        <v>46</v>
      </c>
      <c r="Y42" s="213"/>
      <c r="Z42" s="214"/>
      <c r="AA42" s="209">
        <v>59691</v>
      </c>
      <c r="AB42" s="210"/>
      <c r="AC42" s="210"/>
      <c r="AD42" s="210"/>
      <c r="AE42" s="215"/>
    </row>
    <row r="43" spans="1:35" ht="27.6" customHeight="1" x14ac:dyDescent="0.4">
      <c r="A43" s="99"/>
      <c r="B43" s="95" t="s">
        <v>112</v>
      </c>
      <c r="C43" s="96"/>
      <c r="D43" s="97"/>
      <c r="E43" s="71"/>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3"/>
      <c r="AI43" s="47"/>
    </row>
    <row r="44" spans="1:35" ht="27.6" customHeight="1" x14ac:dyDescent="0.4">
      <c r="A44" s="69" t="s">
        <v>116</v>
      </c>
      <c r="B44" s="70"/>
      <c r="C44" s="70"/>
      <c r="D44" s="70"/>
      <c r="E44" s="71"/>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3"/>
      <c r="AI44" s="47"/>
    </row>
    <row r="45" spans="1:35" ht="27.6" customHeight="1" x14ac:dyDescent="0.4">
      <c r="A45" s="142" t="s">
        <v>77</v>
      </c>
      <c r="B45" s="144" t="s">
        <v>21</v>
      </c>
      <c r="C45" s="145"/>
      <c r="D45" s="146"/>
      <c r="E45" s="150"/>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2"/>
      <c r="AH45" s="29"/>
    </row>
    <row r="46" spans="1:35" ht="27.6" customHeight="1" x14ac:dyDescent="0.4">
      <c r="A46" s="142"/>
      <c r="B46" s="74" t="s">
        <v>74</v>
      </c>
      <c r="C46" s="75"/>
      <c r="D46" s="76"/>
      <c r="E46" s="111"/>
      <c r="F46" s="112"/>
      <c r="G46" s="112"/>
      <c r="H46" s="112"/>
      <c r="I46" s="112"/>
      <c r="J46" s="112"/>
      <c r="K46" s="112"/>
      <c r="L46" s="112"/>
      <c r="M46" s="112"/>
      <c r="N46" s="118"/>
      <c r="O46" s="114" t="s">
        <v>86</v>
      </c>
      <c r="P46" s="115"/>
      <c r="Q46" s="115"/>
      <c r="R46" s="115"/>
      <c r="S46" s="115"/>
      <c r="T46" s="115"/>
      <c r="U46" s="115"/>
      <c r="V46" s="115"/>
      <c r="W46" s="116"/>
      <c r="X46" s="111"/>
      <c r="Y46" s="112"/>
      <c r="Z46" s="112"/>
      <c r="AA46" s="112"/>
      <c r="AB46" s="112"/>
      <c r="AC46" s="112"/>
      <c r="AD46" s="112"/>
      <c r="AE46" s="113"/>
    </row>
    <row r="47" spans="1:35" ht="27.6" customHeight="1" x14ac:dyDescent="0.4">
      <c r="A47" s="142"/>
      <c r="B47" s="74" t="s">
        <v>85</v>
      </c>
      <c r="C47" s="75"/>
      <c r="D47" s="76"/>
      <c r="E47" s="41" t="s">
        <v>87</v>
      </c>
      <c r="F47" s="40" t="s">
        <v>107</v>
      </c>
      <c r="G47" s="27">
        <v>5</v>
      </c>
      <c r="H47" s="38" t="s">
        <v>101</v>
      </c>
      <c r="I47" s="38"/>
      <c r="J47" s="38" t="s">
        <v>102</v>
      </c>
      <c r="K47" s="119" t="s">
        <v>105</v>
      </c>
      <c r="L47" s="119"/>
      <c r="M47" s="27">
        <v>7</v>
      </c>
      <c r="N47" s="39" t="s">
        <v>101</v>
      </c>
      <c r="O47" s="114" t="s">
        <v>192</v>
      </c>
      <c r="P47" s="115"/>
      <c r="Q47" s="115"/>
      <c r="R47" s="115"/>
      <c r="S47" s="115"/>
      <c r="T47" s="115"/>
      <c r="U47" s="115"/>
      <c r="V47" s="115"/>
      <c r="W47" s="116"/>
      <c r="X47" s="111" t="s">
        <v>110</v>
      </c>
      <c r="Y47" s="112"/>
      <c r="Z47" s="112"/>
      <c r="AA47" s="112"/>
      <c r="AB47" s="112"/>
      <c r="AC47" s="112"/>
      <c r="AD47" s="112"/>
      <c r="AE47" s="113"/>
    </row>
    <row r="48" spans="1:35" ht="27.6" customHeight="1" x14ac:dyDescent="0.4">
      <c r="A48" s="142"/>
      <c r="B48" s="109"/>
      <c r="C48" s="99"/>
      <c r="D48" s="110"/>
      <c r="E48" s="41" t="s">
        <v>84</v>
      </c>
      <c r="F48" s="40" t="s">
        <v>107</v>
      </c>
      <c r="G48" s="27">
        <v>5</v>
      </c>
      <c r="H48" s="38" t="s">
        <v>101</v>
      </c>
      <c r="I48" s="38"/>
      <c r="J48" s="38" t="s">
        <v>102</v>
      </c>
      <c r="K48" s="119" t="s">
        <v>106</v>
      </c>
      <c r="L48" s="119"/>
      <c r="M48" s="27">
        <v>5</v>
      </c>
      <c r="N48" s="39" t="s">
        <v>101</v>
      </c>
      <c r="O48" s="117" t="s">
        <v>90</v>
      </c>
      <c r="P48" s="115"/>
      <c r="Q48" s="115"/>
      <c r="R48" s="115"/>
      <c r="S48" s="115"/>
      <c r="T48" s="115"/>
      <c r="U48" s="115"/>
      <c r="V48" s="115"/>
      <c r="W48" s="116"/>
      <c r="X48" s="26"/>
      <c r="Y48" s="27"/>
      <c r="Z48" s="27"/>
      <c r="AA48" s="27"/>
      <c r="AB48" s="27"/>
      <c r="AC48" s="27"/>
      <c r="AD48" s="27"/>
      <c r="AE48" s="28"/>
    </row>
    <row r="49" spans="1:31" ht="27.6" customHeight="1" x14ac:dyDescent="0.4">
      <c r="A49" s="142"/>
      <c r="B49" s="147" t="s">
        <v>88</v>
      </c>
      <c r="C49" s="148"/>
      <c r="D49" s="149"/>
      <c r="E49" s="159" t="s">
        <v>89</v>
      </c>
      <c r="F49" s="124"/>
      <c r="G49" s="120"/>
      <c r="H49" s="120"/>
      <c r="I49" s="120"/>
      <c r="J49" s="120"/>
      <c r="K49" s="120"/>
      <c r="L49" s="120"/>
      <c r="M49" s="120"/>
      <c r="N49" s="125"/>
      <c r="O49" s="159" t="s">
        <v>136</v>
      </c>
      <c r="P49" s="161"/>
      <c r="Q49" s="161"/>
      <c r="R49" s="161"/>
      <c r="S49" s="161"/>
      <c r="T49" s="161"/>
      <c r="U49" s="161"/>
      <c r="V49" s="161"/>
      <c r="W49" s="161"/>
      <c r="X49" s="124"/>
      <c r="Y49" s="120"/>
      <c r="Z49" s="120"/>
      <c r="AA49" s="120"/>
      <c r="AB49" s="120"/>
      <c r="AC49" s="120"/>
      <c r="AD49" s="120"/>
      <c r="AE49" s="129"/>
    </row>
    <row r="50" spans="1:31" ht="27.6" customHeight="1" x14ac:dyDescent="0.4">
      <c r="A50" s="142"/>
      <c r="B50" s="156"/>
      <c r="C50" s="157"/>
      <c r="D50" s="158"/>
      <c r="E50" s="160"/>
      <c r="F50" s="42" t="s">
        <v>107</v>
      </c>
      <c r="G50" s="43">
        <v>7</v>
      </c>
      <c r="H50" s="44" t="s">
        <v>103</v>
      </c>
      <c r="I50" s="43"/>
      <c r="J50" s="43" t="s">
        <v>104</v>
      </c>
      <c r="K50" s="120" t="s">
        <v>108</v>
      </c>
      <c r="L50" s="120"/>
      <c r="M50" s="43">
        <v>7</v>
      </c>
      <c r="N50" s="45" t="s">
        <v>103</v>
      </c>
      <c r="O50" s="160"/>
      <c r="P50" s="162"/>
      <c r="Q50" s="162"/>
      <c r="R50" s="162"/>
      <c r="S50" s="162"/>
      <c r="T50" s="162"/>
      <c r="U50" s="162"/>
      <c r="V50" s="162"/>
      <c r="W50" s="162"/>
      <c r="X50" s="126" t="s">
        <v>204</v>
      </c>
      <c r="Y50" s="127"/>
      <c r="Z50" s="127"/>
      <c r="AA50" s="127"/>
      <c r="AB50" s="127"/>
      <c r="AC50" s="127"/>
      <c r="AD50" s="127"/>
      <c r="AE50" s="128"/>
    </row>
    <row r="51" spans="1:31" ht="27.6" customHeight="1" x14ac:dyDescent="0.4">
      <c r="A51" s="142"/>
      <c r="B51" s="74" t="s">
        <v>76</v>
      </c>
      <c r="C51" s="75"/>
      <c r="D51" s="76"/>
      <c r="E51" s="111"/>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3"/>
    </row>
    <row r="52" spans="1:31" ht="27.6" customHeight="1" x14ac:dyDescent="0.4">
      <c r="A52" s="143"/>
      <c r="B52" s="147" t="s">
        <v>75</v>
      </c>
      <c r="C52" s="148"/>
      <c r="D52" s="149"/>
      <c r="E52" s="121" t="s">
        <v>246</v>
      </c>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3"/>
    </row>
    <row r="53" spans="1:31" ht="27.6" customHeight="1" x14ac:dyDescent="0.4">
      <c r="A53" s="153" t="s">
        <v>22</v>
      </c>
      <c r="B53" s="65" t="s">
        <v>65</v>
      </c>
      <c r="C53" s="66"/>
      <c r="D53" s="67"/>
      <c r="E53" s="106" t="s">
        <v>34</v>
      </c>
      <c r="F53" s="107"/>
      <c r="G53" s="107"/>
      <c r="H53" s="107"/>
      <c r="I53" s="107"/>
      <c r="J53" s="107"/>
      <c r="K53" s="131"/>
      <c r="L53" s="139" t="s">
        <v>48</v>
      </c>
      <c r="M53" s="140"/>
      <c r="N53" s="140"/>
      <c r="O53" s="140"/>
      <c r="P53" s="140"/>
      <c r="Q53" s="140"/>
      <c r="R53" s="140"/>
      <c r="S53" s="140"/>
      <c r="T53" s="140"/>
      <c r="U53" s="140"/>
      <c r="V53" s="140"/>
      <c r="W53" s="141"/>
      <c r="X53" s="106" t="s">
        <v>47</v>
      </c>
      <c r="Y53" s="107"/>
      <c r="Z53" s="107"/>
      <c r="AA53" s="107"/>
      <c r="AB53" s="107"/>
      <c r="AC53" s="107"/>
      <c r="AD53" s="107"/>
      <c r="AE53" s="108"/>
    </row>
    <row r="54" spans="1:31" ht="27.6" customHeight="1" x14ac:dyDescent="0.4">
      <c r="A54" s="154"/>
      <c r="B54" s="163" t="s">
        <v>70</v>
      </c>
      <c r="C54" s="164"/>
      <c r="D54" s="165"/>
      <c r="E54" s="132"/>
      <c r="F54" s="133"/>
      <c r="G54" s="133"/>
      <c r="H54" s="133"/>
      <c r="I54" s="133"/>
      <c r="J54" s="133"/>
      <c r="K54" s="134"/>
      <c r="L54" s="135" t="s">
        <v>83</v>
      </c>
      <c r="M54" s="133"/>
      <c r="N54" s="133"/>
      <c r="O54" s="133"/>
      <c r="P54" s="134"/>
      <c r="Q54" s="136"/>
      <c r="R54" s="137"/>
      <c r="S54" s="137"/>
      <c r="T54" s="137"/>
      <c r="U54" s="137"/>
      <c r="V54" s="137"/>
      <c r="W54" s="138"/>
      <c r="X54" s="135" t="s">
        <v>33</v>
      </c>
      <c r="Y54" s="133"/>
      <c r="Z54" s="134"/>
      <c r="AA54" s="106"/>
      <c r="AB54" s="107"/>
      <c r="AC54" s="107"/>
      <c r="AD54" s="107"/>
      <c r="AE54" s="108"/>
    </row>
    <row r="55" spans="1:31" ht="41.25" customHeight="1" thickBot="1" x14ac:dyDescent="0.45">
      <c r="A55" s="166" t="s">
        <v>72</v>
      </c>
      <c r="B55" s="167"/>
      <c r="C55" s="167"/>
      <c r="D55" s="167"/>
      <c r="E55" s="100" t="s">
        <v>73</v>
      </c>
      <c r="F55" s="101"/>
      <c r="G55" s="101"/>
      <c r="H55" s="101"/>
      <c r="I55" s="101"/>
      <c r="J55" s="101"/>
      <c r="K55" s="101"/>
      <c r="L55" s="101"/>
      <c r="M55" s="101"/>
      <c r="N55" s="101"/>
      <c r="O55" s="101"/>
      <c r="P55" s="101"/>
      <c r="Q55" s="101"/>
      <c r="R55" s="101"/>
      <c r="S55" s="101"/>
      <c r="T55" s="101"/>
      <c r="U55" s="101"/>
      <c r="V55" s="101"/>
      <c r="W55" s="101"/>
      <c r="X55" s="101"/>
      <c r="Y55" s="101"/>
      <c r="Z55" s="102"/>
      <c r="AA55" s="103"/>
      <c r="AB55" s="104"/>
      <c r="AC55" s="104"/>
      <c r="AD55" s="104"/>
      <c r="AE55" s="105"/>
    </row>
    <row r="56" spans="1:31" ht="13.5" customHeight="1" x14ac:dyDescent="0.4">
      <c r="A56" s="18"/>
      <c r="B56" s="18"/>
      <c r="C56" s="18"/>
      <c r="D56" s="18"/>
      <c r="E56" s="19"/>
      <c r="F56" s="19"/>
      <c r="G56" s="19"/>
      <c r="H56" s="19"/>
      <c r="I56" s="19"/>
      <c r="J56" s="19"/>
      <c r="K56" s="19"/>
      <c r="L56" s="19"/>
      <c r="M56" s="19"/>
      <c r="N56" s="19"/>
      <c r="O56" s="19"/>
      <c r="P56" s="19"/>
      <c r="Q56" s="20"/>
      <c r="R56" s="20"/>
      <c r="S56" s="20"/>
      <c r="T56" s="20"/>
      <c r="U56" s="20"/>
      <c r="V56" s="20"/>
      <c r="W56" s="20"/>
      <c r="X56" s="19"/>
      <c r="Y56" s="19"/>
      <c r="Z56" s="19"/>
      <c r="AA56" s="21"/>
      <c r="AB56" s="21"/>
      <c r="AC56" s="21"/>
      <c r="AD56" s="21"/>
      <c r="AE56" s="21"/>
    </row>
    <row r="57" spans="1:31" s="17" customFormat="1" ht="17.100000000000001" customHeight="1" x14ac:dyDescent="0.4">
      <c r="A57" s="61" t="s">
        <v>71</v>
      </c>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row>
    <row r="58" spans="1:31" s="17" customFormat="1" ht="17.100000000000001" customHeight="1" x14ac:dyDescent="0.4">
      <c r="A58" s="155" t="s">
        <v>58</v>
      </c>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c r="AA58" s="155"/>
      <c r="AB58" s="155"/>
      <c r="AC58" s="155"/>
      <c r="AD58" s="155"/>
      <c r="AE58" s="22"/>
    </row>
    <row r="59" spans="1:31" s="17" customFormat="1" ht="17.100000000000001" customHeight="1" x14ac:dyDescent="0.4">
      <c r="A59" s="130" t="s">
        <v>43</v>
      </c>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row>
    <row r="60" spans="1:31" s="17" customFormat="1" ht="17.100000000000001" customHeight="1" x14ac:dyDescent="0.4">
      <c r="A60" s="130" t="s">
        <v>42</v>
      </c>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row>
    <row r="61" spans="1:31" s="17" customFormat="1" ht="17.100000000000001" customHeight="1" x14ac:dyDescent="0.4">
      <c r="A61" s="130" t="s">
        <v>45</v>
      </c>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row>
    <row r="62" spans="1:31" s="17" customFormat="1" ht="17.100000000000001" customHeight="1" x14ac:dyDescent="0.4">
      <c r="A62" s="130" t="s">
        <v>44</v>
      </c>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row>
  </sheetData>
  <mergeCells count="205">
    <mergeCell ref="E21:F21"/>
    <mergeCell ref="G21:AE21"/>
    <mergeCell ref="O29:Q29"/>
    <mergeCell ref="J29:N29"/>
    <mergeCell ref="A1:AE2"/>
    <mergeCell ref="A3:F3"/>
    <mergeCell ref="W3:AE3"/>
    <mergeCell ref="AC17:AE17"/>
    <mergeCell ref="E17:F19"/>
    <mergeCell ref="B11:D19"/>
    <mergeCell ref="G17:W17"/>
    <mergeCell ref="G18:W18"/>
    <mergeCell ref="G19:W19"/>
    <mergeCell ref="X16:Z18"/>
    <mergeCell ref="X19:Z19"/>
    <mergeCell ref="AA19:AD19"/>
    <mergeCell ref="AA6:AB6"/>
    <mergeCell ref="G10:W10"/>
    <mergeCell ref="E15:F15"/>
    <mergeCell ref="G15:W15"/>
    <mergeCell ref="G14:W14"/>
    <mergeCell ref="P20:W20"/>
    <mergeCell ref="AA20:AE20"/>
    <mergeCell ref="AA15:AE15"/>
    <mergeCell ref="X40:Z40"/>
    <mergeCell ref="E29:I29"/>
    <mergeCell ref="R29:X29"/>
    <mergeCell ref="B29:D29"/>
    <mergeCell ref="E38:I38"/>
    <mergeCell ref="J38:N38"/>
    <mergeCell ref="O38:W38"/>
    <mergeCell ref="B41:D41"/>
    <mergeCell ref="B39:D39"/>
    <mergeCell ref="X39:Z39"/>
    <mergeCell ref="O40:W40"/>
    <mergeCell ref="O41:W41"/>
    <mergeCell ref="E39:I39"/>
    <mergeCell ref="E40:I40"/>
    <mergeCell ref="J39:N39"/>
    <mergeCell ref="J40:N40"/>
    <mergeCell ref="B38:D38"/>
    <mergeCell ref="J25:Q25"/>
    <mergeCell ref="B21:D21"/>
    <mergeCell ref="R24:W24"/>
    <mergeCell ref="R25:W25"/>
    <mergeCell ref="AA40:AE40"/>
    <mergeCell ref="E42:W42"/>
    <mergeCell ref="X42:Z42"/>
    <mergeCell ref="AA42:AE42"/>
    <mergeCell ref="AA29:AE29"/>
    <mergeCell ref="Y29:Z29"/>
    <mergeCell ref="AA39:AE39"/>
    <mergeCell ref="X41:Z41"/>
    <mergeCell ref="AA41:AE41"/>
    <mergeCell ref="E25:H25"/>
    <mergeCell ref="E26:H26"/>
    <mergeCell ref="E27:H27"/>
    <mergeCell ref="E28:H28"/>
    <mergeCell ref="X38:Z38"/>
    <mergeCell ref="AA38:AE38"/>
    <mergeCell ref="J28:Q28"/>
    <mergeCell ref="AA22:AE22"/>
    <mergeCell ref="AA23:AE23"/>
    <mergeCell ref="B42:D42"/>
    <mergeCell ref="E41:I41"/>
    <mergeCell ref="A4:A30"/>
    <mergeCell ref="AA24:AE24"/>
    <mergeCell ref="AA25:AE25"/>
    <mergeCell ref="AA26:AE26"/>
    <mergeCell ref="AA27:AE27"/>
    <mergeCell ref="X6:Z6"/>
    <mergeCell ref="B22:D28"/>
    <mergeCell ref="B30:D30"/>
    <mergeCell ref="E30:AE30"/>
    <mergeCell ref="Y28:Z28"/>
    <mergeCell ref="R28:W28"/>
    <mergeCell ref="E24:H24"/>
    <mergeCell ref="J27:Q27"/>
    <mergeCell ref="E7:F7"/>
    <mergeCell ref="E8:F8"/>
    <mergeCell ref="R22:X22"/>
    <mergeCell ref="X11:Z11"/>
    <mergeCell ref="Y23:Z23"/>
    <mergeCell ref="Y24:Z24"/>
    <mergeCell ref="AB7:AC7"/>
    <mergeCell ref="G6:W6"/>
    <mergeCell ref="E6:F6"/>
    <mergeCell ref="G7:W7"/>
    <mergeCell ref="G8:W8"/>
    <mergeCell ref="B4:D8"/>
    <mergeCell ref="X7:Z7"/>
    <mergeCell ref="X8:Z8"/>
    <mergeCell ref="E4:F4"/>
    <mergeCell ref="E5:F5"/>
    <mergeCell ref="E16:F16"/>
    <mergeCell ref="G4:AE4"/>
    <mergeCell ref="G5:AE5"/>
    <mergeCell ref="AA8:AB8"/>
    <mergeCell ref="AA11:AE11"/>
    <mergeCell ref="AA12:AE12"/>
    <mergeCell ref="G16:W16"/>
    <mergeCell ref="AD6:AE6"/>
    <mergeCell ref="G13:W13"/>
    <mergeCell ref="B9:D10"/>
    <mergeCell ref="X13:Z13"/>
    <mergeCell ref="AA10:AE10"/>
    <mergeCell ref="G9:W9"/>
    <mergeCell ref="E9:F9"/>
    <mergeCell ref="X9:Z9"/>
    <mergeCell ref="AA9:AE9"/>
    <mergeCell ref="E10:F10"/>
    <mergeCell ref="X10:Z10"/>
    <mergeCell ref="X15:Z15"/>
    <mergeCell ref="AA13:AE13"/>
    <mergeCell ref="E11:F11"/>
    <mergeCell ref="E12:F12"/>
    <mergeCell ref="E13:F13"/>
    <mergeCell ref="AA28:AE28"/>
    <mergeCell ref="AA16:AE16"/>
    <mergeCell ref="J22:Q22"/>
    <mergeCell ref="E22:I22"/>
    <mergeCell ref="Y25:Z25"/>
    <mergeCell ref="Y26:Z26"/>
    <mergeCell ref="Y27:Z27"/>
    <mergeCell ref="Y22:Z22"/>
    <mergeCell ref="R26:W26"/>
    <mergeCell ref="R23:W23"/>
    <mergeCell ref="G11:W11"/>
    <mergeCell ref="G12:W12"/>
    <mergeCell ref="E14:F14"/>
    <mergeCell ref="X14:Z14"/>
    <mergeCell ref="AA14:AE14"/>
    <mergeCell ref="X12:Z12"/>
    <mergeCell ref="AA18:AE18"/>
    <mergeCell ref="J26:Q26"/>
    <mergeCell ref="J23:Q23"/>
    <mergeCell ref="J24:Q24"/>
    <mergeCell ref="A62:AE62"/>
    <mergeCell ref="E53:K53"/>
    <mergeCell ref="E54:K54"/>
    <mergeCell ref="L54:P54"/>
    <mergeCell ref="Q54:W54"/>
    <mergeCell ref="X54:Z54"/>
    <mergeCell ref="L53:W53"/>
    <mergeCell ref="X53:AE53"/>
    <mergeCell ref="A45:A52"/>
    <mergeCell ref="B45:D45"/>
    <mergeCell ref="B52:D52"/>
    <mergeCell ref="E45:AE45"/>
    <mergeCell ref="A53:A54"/>
    <mergeCell ref="B53:D53"/>
    <mergeCell ref="A57:AE57"/>
    <mergeCell ref="A58:AD58"/>
    <mergeCell ref="A61:AE61"/>
    <mergeCell ref="A59:AE59"/>
    <mergeCell ref="A60:AE60"/>
    <mergeCell ref="B49:D50"/>
    <mergeCell ref="E49:E50"/>
    <mergeCell ref="O49:W50"/>
    <mergeCell ref="B54:D54"/>
    <mergeCell ref="A55:D55"/>
    <mergeCell ref="E55:Z55"/>
    <mergeCell ref="AA55:AE55"/>
    <mergeCell ref="AA54:AE54"/>
    <mergeCell ref="B47:D48"/>
    <mergeCell ref="B46:D46"/>
    <mergeCell ref="X46:AE46"/>
    <mergeCell ref="B51:D51"/>
    <mergeCell ref="E51:AE51"/>
    <mergeCell ref="O46:W46"/>
    <mergeCell ref="O47:W47"/>
    <mergeCell ref="O48:W48"/>
    <mergeCell ref="E46:N46"/>
    <mergeCell ref="K47:L47"/>
    <mergeCell ref="K50:L50"/>
    <mergeCell ref="E52:AE52"/>
    <mergeCell ref="F49:N49"/>
    <mergeCell ref="K48:L48"/>
    <mergeCell ref="X47:AE47"/>
    <mergeCell ref="X50:AE50"/>
    <mergeCell ref="X49:AE49"/>
    <mergeCell ref="B20:D20"/>
    <mergeCell ref="E20:F20"/>
    <mergeCell ref="M20:O20"/>
    <mergeCell ref="X20:Z20"/>
    <mergeCell ref="G20:L20"/>
    <mergeCell ref="A44:D44"/>
    <mergeCell ref="E44:AE44"/>
    <mergeCell ref="B31:D33"/>
    <mergeCell ref="E31:AE31"/>
    <mergeCell ref="E32:AE32"/>
    <mergeCell ref="E33:AE33"/>
    <mergeCell ref="E34:AE34"/>
    <mergeCell ref="B34:D37"/>
    <mergeCell ref="E35:AE35"/>
    <mergeCell ref="E36:AE36"/>
    <mergeCell ref="E37:AE37"/>
    <mergeCell ref="J41:N41"/>
    <mergeCell ref="O39:W39"/>
    <mergeCell ref="R27:W27"/>
    <mergeCell ref="E23:H23"/>
    <mergeCell ref="B40:D40"/>
    <mergeCell ref="E43:AE43"/>
    <mergeCell ref="B43:D43"/>
    <mergeCell ref="A38:A43"/>
  </mergeCells>
  <phoneticPr fontId="1" type="noConversion"/>
  <hyperlinks>
    <hyperlink ref="B43:D43" r:id="rId1" display="https://www.culture.go.kr/deduction/" xr:uid="{BD5BFE8F-40ED-47EE-AB70-59515624841A}"/>
    <hyperlink ref="B54:D54" r:id="rId2" display="티켓링크 가입 ID" xr:uid="{31A5763C-6F9B-477D-8636-A8B5455F5F8F}"/>
    <hyperlink ref="A44:D44" r:id="rId3" display="공연예술통합전산망 정보 제공 여부" xr:uid="{480F62E5-52F7-4B3C-A2CC-0E13A0698A77}"/>
  </hyperlinks>
  <printOptions horizontalCentered="1" verticalCentered="1"/>
  <pageMargins left="0.39370078740157483" right="0.39370078740157483" top="0.39370078740157483" bottom="0.39370078740157483" header="0.31496062992125984" footer="0.31496062992125984"/>
  <pageSetup paperSize="9" scale="56" orientation="portrait" r:id="rId7"/>
  <drawing r:id="rId8"/>
  <legacyDrawing r:id="rId9"/>
  <mc:AlternateContent xmlns:mc="http://schemas.openxmlformats.org/markup-compatibility/2006">
    <mc:Choice Requires="x14">
      <controls>
        <mc:AlternateContent xmlns:mc="http://schemas.openxmlformats.org/markup-compatibility/2006">
          <mc:Choice Requires="x14">
            <control shapeId="1073" r:id="rId10" name="Check Box 49">
              <controlPr defaultSize="0" autoFill="0" autoLine="0" autoPict="0">
                <anchor moveWithCells="1">
                  <from>
                    <xdr:col>29</xdr:col>
                    <xdr:colOff>144780</xdr:colOff>
                    <xdr:row>7</xdr:row>
                    <xdr:rowOff>60960</xdr:rowOff>
                  </from>
                  <to>
                    <xdr:col>30</xdr:col>
                    <xdr:colOff>297180</xdr:colOff>
                    <xdr:row>7</xdr:row>
                    <xdr:rowOff>297180</xdr:rowOff>
                  </to>
                </anchor>
              </controlPr>
            </control>
          </mc:Choice>
        </mc:AlternateContent>
        <mc:AlternateContent xmlns:mc="http://schemas.openxmlformats.org/markup-compatibility/2006">
          <mc:Choice Requires="x14">
            <control shapeId="1144" r:id="rId11" name="Check Box 120">
              <controlPr defaultSize="0" autoFill="0" autoLine="0" autoPict="0">
                <anchor moveWithCells="1">
                  <from>
                    <xdr:col>26</xdr:col>
                    <xdr:colOff>182880</xdr:colOff>
                    <xdr:row>54</xdr:row>
                    <xdr:rowOff>160020</xdr:rowOff>
                  </from>
                  <to>
                    <xdr:col>28</xdr:col>
                    <xdr:colOff>60960</xdr:colOff>
                    <xdr:row>54</xdr:row>
                    <xdr:rowOff>373380</xdr:rowOff>
                  </to>
                </anchor>
              </controlPr>
            </control>
          </mc:Choice>
        </mc:AlternateContent>
        <mc:AlternateContent xmlns:mc="http://schemas.openxmlformats.org/markup-compatibility/2006">
          <mc:Choice Requires="x14">
            <control shapeId="1145" r:id="rId12" name="Check Box 121">
              <controlPr defaultSize="0" autoFill="0" autoLine="0" autoPict="0">
                <anchor moveWithCells="1">
                  <from>
                    <xdr:col>28</xdr:col>
                    <xdr:colOff>274320</xdr:colOff>
                    <xdr:row>54</xdr:row>
                    <xdr:rowOff>144780</xdr:rowOff>
                  </from>
                  <to>
                    <xdr:col>30</xdr:col>
                    <xdr:colOff>335280</xdr:colOff>
                    <xdr:row>54</xdr:row>
                    <xdr:rowOff>381000</xdr:rowOff>
                  </to>
                </anchor>
              </controlPr>
            </control>
          </mc:Choice>
        </mc:AlternateContent>
        <mc:AlternateContent xmlns:mc="http://schemas.openxmlformats.org/markup-compatibility/2006">
          <mc:Choice Requires="x14">
            <control shapeId="1152" r:id="rId13" name="Check Box 128">
              <controlPr defaultSize="0" autoFill="0" autoLine="0" autoPict="0">
                <anchor moveWithCells="1">
                  <from>
                    <xdr:col>23</xdr:col>
                    <xdr:colOff>160020</xdr:colOff>
                    <xdr:row>47</xdr:row>
                    <xdr:rowOff>121920</xdr:rowOff>
                  </from>
                  <to>
                    <xdr:col>24</xdr:col>
                    <xdr:colOff>327660</xdr:colOff>
                    <xdr:row>47</xdr:row>
                    <xdr:rowOff>274320</xdr:rowOff>
                  </to>
                </anchor>
              </controlPr>
            </control>
          </mc:Choice>
        </mc:AlternateContent>
        <mc:AlternateContent xmlns:mc="http://schemas.openxmlformats.org/markup-compatibility/2006">
          <mc:Choice Requires="x14">
            <control shapeId="1153" r:id="rId14" name="Check Box 129">
              <controlPr defaultSize="0" autoFill="0" autoLine="0" autoPict="0">
                <anchor moveWithCells="1">
                  <from>
                    <xdr:col>25</xdr:col>
                    <xdr:colOff>152400</xdr:colOff>
                    <xdr:row>47</xdr:row>
                    <xdr:rowOff>121920</xdr:rowOff>
                  </from>
                  <to>
                    <xdr:col>26</xdr:col>
                    <xdr:colOff>365760</xdr:colOff>
                    <xdr:row>47</xdr:row>
                    <xdr:rowOff>274320</xdr:rowOff>
                  </to>
                </anchor>
              </controlPr>
            </control>
          </mc:Choice>
        </mc:AlternateContent>
        <mc:AlternateContent xmlns:mc="http://schemas.openxmlformats.org/markup-compatibility/2006">
          <mc:Choice Requires="x14">
            <control shapeId="1154" r:id="rId15" name="Check Box 130">
              <controlPr defaultSize="0" autoFill="0" autoLine="0" autoPict="0">
                <anchor moveWithCells="1">
                  <from>
                    <xdr:col>27</xdr:col>
                    <xdr:colOff>38100</xdr:colOff>
                    <xdr:row>47</xdr:row>
                    <xdr:rowOff>114300</xdr:rowOff>
                  </from>
                  <to>
                    <xdr:col>28</xdr:col>
                    <xdr:colOff>266700</xdr:colOff>
                    <xdr:row>47</xdr:row>
                    <xdr:rowOff>266700</xdr:rowOff>
                  </to>
                </anchor>
              </controlPr>
            </control>
          </mc:Choice>
        </mc:AlternateContent>
        <mc:AlternateContent xmlns:mc="http://schemas.openxmlformats.org/markup-compatibility/2006">
          <mc:Choice Requires="x14">
            <control shapeId="1174" r:id="rId16" name="Check Box 150">
              <controlPr defaultSize="0" autoFill="0" autoLine="0" autoPict="0">
                <anchor moveWithCells="1">
                  <from>
                    <xdr:col>26</xdr:col>
                    <xdr:colOff>335280</xdr:colOff>
                    <xdr:row>48</xdr:row>
                    <xdr:rowOff>91440</xdr:rowOff>
                  </from>
                  <to>
                    <xdr:col>29</xdr:col>
                    <xdr:colOff>68580</xdr:colOff>
                    <xdr:row>48</xdr:row>
                    <xdr:rowOff>266700</xdr:rowOff>
                  </to>
                </anchor>
              </controlPr>
            </control>
          </mc:Choice>
        </mc:AlternateContent>
        <mc:AlternateContent xmlns:mc="http://schemas.openxmlformats.org/markup-compatibility/2006">
          <mc:Choice Requires="x14">
            <control shapeId="1175" r:id="rId17" name="Check Box 151">
              <controlPr defaultSize="0" autoFill="0" autoLine="0" autoPict="0">
                <anchor moveWithCells="1">
                  <from>
                    <xdr:col>24</xdr:col>
                    <xdr:colOff>144780</xdr:colOff>
                    <xdr:row>48</xdr:row>
                    <xdr:rowOff>99060</xdr:rowOff>
                  </from>
                  <to>
                    <xdr:col>25</xdr:col>
                    <xdr:colOff>297180</xdr:colOff>
                    <xdr:row>48</xdr:row>
                    <xdr:rowOff>251460</xdr:rowOff>
                  </to>
                </anchor>
              </controlPr>
            </control>
          </mc:Choice>
        </mc:AlternateContent>
        <mc:AlternateContent xmlns:mc="http://schemas.openxmlformats.org/markup-compatibility/2006">
          <mc:Choice Requires="x14">
            <control shapeId="1214" r:id="rId18" name="Drop Down 190">
              <controlPr defaultSize="0" autoLine="0" autoPict="0" altText="장르선택">
                <anchor moveWithCells="1">
                  <from>
                    <xdr:col>6</xdr:col>
                    <xdr:colOff>121920</xdr:colOff>
                    <xdr:row>8</xdr:row>
                    <xdr:rowOff>83820</xdr:rowOff>
                  </from>
                  <to>
                    <xdr:col>13</xdr:col>
                    <xdr:colOff>45720</xdr:colOff>
                    <xdr:row>8</xdr:row>
                    <xdr:rowOff>297180</xdr:rowOff>
                  </to>
                </anchor>
              </controlPr>
            </control>
          </mc:Choice>
        </mc:AlternateContent>
        <mc:AlternateContent xmlns:mc="http://schemas.openxmlformats.org/markup-compatibility/2006">
          <mc:Choice Requires="x14">
            <control shapeId="1215" r:id="rId19" name="Drop Down 191">
              <controlPr defaultSize="0" autoLine="0" autoPict="0" altText="해당없음">
                <anchor moveWithCells="1">
                  <from>
                    <xdr:col>6</xdr:col>
                    <xdr:colOff>121920</xdr:colOff>
                    <xdr:row>9</xdr:row>
                    <xdr:rowOff>68580</xdr:rowOff>
                  </from>
                  <to>
                    <xdr:col>10</xdr:col>
                    <xdr:colOff>205740</xdr:colOff>
                    <xdr:row>9</xdr:row>
                    <xdr:rowOff>274320</xdr:rowOff>
                  </to>
                </anchor>
              </controlPr>
            </control>
          </mc:Choice>
        </mc:AlternateContent>
        <mc:AlternateContent xmlns:mc="http://schemas.openxmlformats.org/markup-compatibility/2006">
          <mc:Choice Requires="x14">
            <control shapeId="1216" r:id="rId20" name="Check Box 192">
              <controlPr defaultSize="0" autoFill="0" autoLine="0" autoPict="0">
                <anchor moveWithCells="1">
                  <from>
                    <xdr:col>26</xdr:col>
                    <xdr:colOff>281940</xdr:colOff>
                    <xdr:row>8</xdr:row>
                    <xdr:rowOff>68580</xdr:rowOff>
                  </from>
                  <to>
                    <xdr:col>28</xdr:col>
                    <xdr:colOff>228600</xdr:colOff>
                    <xdr:row>8</xdr:row>
                    <xdr:rowOff>304800</xdr:rowOff>
                  </to>
                </anchor>
              </controlPr>
            </control>
          </mc:Choice>
        </mc:AlternateContent>
        <mc:AlternateContent xmlns:mc="http://schemas.openxmlformats.org/markup-compatibility/2006">
          <mc:Choice Requires="x14">
            <control shapeId="1217" r:id="rId21" name="Check Box 193">
              <controlPr defaultSize="0" autoFill="0" autoLine="0" autoPict="0">
                <anchor moveWithCells="1">
                  <from>
                    <xdr:col>29</xdr:col>
                    <xdr:colOff>144780</xdr:colOff>
                    <xdr:row>8</xdr:row>
                    <xdr:rowOff>68580</xdr:rowOff>
                  </from>
                  <to>
                    <xdr:col>30</xdr:col>
                    <xdr:colOff>632460</xdr:colOff>
                    <xdr:row>8</xdr:row>
                    <xdr:rowOff>304800</xdr:rowOff>
                  </to>
                </anchor>
              </controlPr>
            </control>
          </mc:Choice>
        </mc:AlternateContent>
        <mc:AlternateContent xmlns:mc="http://schemas.openxmlformats.org/markup-compatibility/2006">
          <mc:Choice Requires="x14">
            <control shapeId="1126" r:id="rId22" name="Check Box 102">
              <controlPr defaultSize="0" autoFill="0" autoLine="0" autoPict="0">
                <anchor moveWithCells="1">
                  <from>
                    <xdr:col>26</xdr:col>
                    <xdr:colOff>281940</xdr:colOff>
                    <xdr:row>10</xdr:row>
                    <xdr:rowOff>68580</xdr:rowOff>
                  </from>
                  <to>
                    <xdr:col>28</xdr:col>
                    <xdr:colOff>220980</xdr:colOff>
                    <xdr:row>10</xdr:row>
                    <xdr:rowOff>304800</xdr:rowOff>
                  </to>
                </anchor>
              </controlPr>
            </control>
          </mc:Choice>
        </mc:AlternateContent>
        <mc:AlternateContent xmlns:mc="http://schemas.openxmlformats.org/markup-compatibility/2006">
          <mc:Choice Requires="x14">
            <control shapeId="1127" r:id="rId23" name="Check Box 103">
              <controlPr defaultSize="0" autoFill="0" autoLine="0" autoPict="0">
                <anchor moveWithCells="1">
                  <from>
                    <xdr:col>29</xdr:col>
                    <xdr:colOff>144780</xdr:colOff>
                    <xdr:row>10</xdr:row>
                    <xdr:rowOff>68580</xdr:rowOff>
                  </from>
                  <to>
                    <xdr:col>30</xdr:col>
                    <xdr:colOff>632460</xdr:colOff>
                    <xdr:row>10</xdr:row>
                    <xdr:rowOff>304800</xdr:rowOff>
                  </to>
                </anchor>
              </controlPr>
            </control>
          </mc:Choice>
        </mc:AlternateContent>
        <mc:AlternateContent xmlns:mc="http://schemas.openxmlformats.org/markup-compatibility/2006">
          <mc:Choice Requires="x14">
            <control shapeId="1229" r:id="rId24" name="Check Box 205">
              <controlPr defaultSize="0" autoFill="0" autoLine="0" autoPict="0">
                <anchor moveWithCells="1">
                  <from>
                    <xdr:col>26</xdr:col>
                    <xdr:colOff>76200</xdr:colOff>
                    <xdr:row>15</xdr:row>
                    <xdr:rowOff>68580</xdr:rowOff>
                  </from>
                  <to>
                    <xdr:col>28</xdr:col>
                    <xdr:colOff>30480</xdr:colOff>
                    <xdr:row>15</xdr:row>
                    <xdr:rowOff>304800</xdr:rowOff>
                  </to>
                </anchor>
              </controlPr>
            </control>
          </mc:Choice>
        </mc:AlternateContent>
        <mc:AlternateContent xmlns:mc="http://schemas.openxmlformats.org/markup-compatibility/2006">
          <mc:Choice Requires="x14">
            <control shapeId="1233" r:id="rId25" name="Check Box 209">
              <controlPr defaultSize="0" autoFill="0" autoLine="0" autoPict="0">
                <anchor moveWithCells="1">
                  <from>
                    <xdr:col>26</xdr:col>
                    <xdr:colOff>76200</xdr:colOff>
                    <xdr:row>16</xdr:row>
                    <xdr:rowOff>60960</xdr:rowOff>
                  </from>
                  <to>
                    <xdr:col>27</xdr:col>
                    <xdr:colOff>160020</xdr:colOff>
                    <xdr:row>16</xdr:row>
                    <xdr:rowOff>297180</xdr:rowOff>
                  </to>
                </anchor>
              </controlPr>
            </control>
          </mc:Choice>
        </mc:AlternateContent>
        <mc:AlternateContent xmlns:mc="http://schemas.openxmlformats.org/markup-compatibility/2006">
          <mc:Choice Requires="x14">
            <control shapeId="1234" r:id="rId26" name="Check Box 210">
              <controlPr defaultSize="0" autoFill="0" autoLine="0" autoPict="0">
                <anchor moveWithCells="1">
                  <from>
                    <xdr:col>26</xdr:col>
                    <xdr:colOff>76200</xdr:colOff>
                    <xdr:row>17</xdr:row>
                    <xdr:rowOff>60960</xdr:rowOff>
                  </from>
                  <to>
                    <xdr:col>27</xdr:col>
                    <xdr:colOff>160020</xdr:colOff>
                    <xdr:row>17</xdr:row>
                    <xdr:rowOff>297180</xdr:rowOff>
                  </to>
                </anchor>
              </controlPr>
            </control>
          </mc:Choice>
        </mc:AlternateContent>
        <mc:AlternateContent xmlns:mc="http://schemas.openxmlformats.org/markup-compatibility/2006">
          <mc:Choice Requires="x14">
            <control shapeId="1235" r:id="rId27" name="Check Box 211">
              <controlPr defaultSize="0" autoFill="0" autoLine="0" autoPict="0">
                <anchor moveWithCells="1">
                  <from>
                    <xdr:col>26</xdr:col>
                    <xdr:colOff>76200</xdr:colOff>
                    <xdr:row>18</xdr:row>
                    <xdr:rowOff>68580</xdr:rowOff>
                  </from>
                  <to>
                    <xdr:col>28</xdr:col>
                    <xdr:colOff>30480</xdr:colOff>
                    <xdr:row>18</xdr:row>
                    <xdr:rowOff>304800</xdr:rowOff>
                  </to>
                </anchor>
              </controlPr>
            </control>
          </mc:Choice>
        </mc:AlternateContent>
        <mc:AlternateContent xmlns:mc="http://schemas.openxmlformats.org/markup-compatibility/2006">
          <mc:Choice Requires="x14">
            <control shapeId="1236" r:id="rId28" name="Check Box 212">
              <controlPr defaultSize="0" autoFill="0" autoLine="0" autoPict="0">
                <anchor moveWithCells="1">
                  <from>
                    <xdr:col>27</xdr:col>
                    <xdr:colOff>190500</xdr:colOff>
                    <xdr:row>18</xdr:row>
                    <xdr:rowOff>68580</xdr:rowOff>
                  </from>
                  <to>
                    <xdr:col>29</xdr:col>
                    <xdr:colOff>182880</xdr:colOff>
                    <xdr:row>18</xdr:row>
                    <xdr:rowOff>304800</xdr:rowOff>
                  </to>
                </anchor>
              </controlPr>
            </control>
          </mc:Choice>
        </mc:AlternateContent>
        <mc:AlternateContent xmlns:mc="http://schemas.openxmlformats.org/markup-compatibility/2006">
          <mc:Choice Requires="x14">
            <control shapeId="1197" r:id="rId29" name="Check Box 173">
              <controlPr defaultSize="0" autoFill="0" autoLine="0" autoPict="0">
                <anchor moveWithCells="1">
                  <from>
                    <xdr:col>6</xdr:col>
                    <xdr:colOff>76200</xdr:colOff>
                    <xdr:row>19</xdr:row>
                    <xdr:rowOff>60960</xdr:rowOff>
                  </from>
                  <to>
                    <xdr:col>9</xdr:col>
                    <xdr:colOff>30480</xdr:colOff>
                    <xdr:row>19</xdr:row>
                    <xdr:rowOff>304800</xdr:rowOff>
                  </to>
                </anchor>
              </controlPr>
            </control>
          </mc:Choice>
        </mc:AlternateContent>
        <mc:AlternateContent xmlns:mc="http://schemas.openxmlformats.org/markup-compatibility/2006">
          <mc:Choice Requires="x14">
            <control shapeId="1198" r:id="rId30" name="Check Box 174">
              <controlPr defaultSize="0" autoFill="0" autoLine="0" autoPict="0">
                <anchor moveWithCells="1">
                  <from>
                    <xdr:col>8</xdr:col>
                    <xdr:colOff>76200</xdr:colOff>
                    <xdr:row>19</xdr:row>
                    <xdr:rowOff>60960</xdr:rowOff>
                  </from>
                  <to>
                    <xdr:col>11</xdr:col>
                    <xdr:colOff>38100</xdr:colOff>
                    <xdr:row>19</xdr:row>
                    <xdr:rowOff>297180</xdr:rowOff>
                  </to>
                </anchor>
              </controlPr>
            </control>
          </mc:Choice>
        </mc:AlternateContent>
        <mc:AlternateContent xmlns:mc="http://schemas.openxmlformats.org/markup-compatibility/2006">
          <mc:Choice Requires="x14">
            <control shapeId="1199" r:id="rId31" name="Check Box 175">
              <controlPr defaultSize="0" autoFill="0" autoLine="0" autoPict="0">
                <anchor moveWithCells="1">
                  <from>
                    <xdr:col>15</xdr:col>
                    <xdr:colOff>114300</xdr:colOff>
                    <xdr:row>19</xdr:row>
                    <xdr:rowOff>60960</xdr:rowOff>
                  </from>
                  <to>
                    <xdr:col>19</xdr:col>
                    <xdr:colOff>22860</xdr:colOff>
                    <xdr:row>19</xdr:row>
                    <xdr:rowOff>304800</xdr:rowOff>
                  </to>
                </anchor>
              </controlPr>
            </control>
          </mc:Choice>
        </mc:AlternateContent>
        <mc:AlternateContent xmlns:mc="http://schemas.openxmlformats.org/markup-compatibility/2006">
          <mc:Choice Requires="x14">
            <control shapeId="1200" r:id="rId32" name="Check Box 176">
              <controlPr defaultSize="0" autoFill="0" autoLine="0" autoPict="0">
                <anchor moveWithCells="1">
                  <from>
                    <xdr:col>18</xdr:col>
                    <xdr:colOff>91440</xdr:colOff>
                    <xdr:row>19</xdr:row>
                    <xdr:rowOff>60960</xdr:rowOff>
                  </from>
                  <to>
                    <xdr:col>21</xdr:col>
                    <xdr:colOff>182880</xdr:colOff>
                    <xdr:row>19</xdr:row>
                    <xdr:rowOff>304800</xdr:rowOff>
                  </to>
                </anchor>
              </controlPr>
            </control>
          </mc:Choice>
        </mc:AlternateContent>
        <mc:AlternateContent xmlns:mc="http://schemas.openxmlformats.org/markup-compatibility/2006">
          <mc:Choice Requires="x14">
            <control shapeId="1201" r:id="rId33" name="Check Box 177">
              <controlPr defaultSize="0" autoFill="0" autoLine="0" autoPict="0">
                <anchor moveWithCells="1">
                  <from>
                    <xdr:col>26</xdr:col>
                    <xdr:colOff>281940</xdr:colOff>
                    <xdr:row>19</xdr:row>
                    <xdr:rowOff>60960</xdr:rowOff>
                  </from>
                  <to>
                    <xdr:col>28</xdr:col>
                    <xdr:colOff>38100</xdr:colOff>
                    <xdr:row>19</xdr:row>
                    <xdr:rowOff>297180</xdr:rowOff>
                  </to>
                </anchor>
              </controlPr>
            </control>
          </mc:Choice>
        </mc:AlternateContent>
        <mc:AlternateContent xmlns:mc="http://schemas.openxmlformats.org/markup-compatibility/2006">
          <mc:Choice Requires="x14">
            <control shapeId="1202" r:id="rId34" name="Check Box 178">
              <controlPr defaultSize="0" autoFill="0" autoLine="0" autoPict="0">
                <anchor moveWithCells="1">
                  <from>
                    <xdr:col>29</xdr:col>
                    <xdr:colOff>144780</xdr:colOff>
                    <xdr:row>19</xdr:row>
                    <xdr:rowOff>60960</xdr:rowOff>
                  </from>
                  <to>
                    <xdr:col>30</xdr:col>
                    <xdr:colOff>533400</xdr:colOff>
                    <xdr:row>19</xdr:row>
                    <xdr:rowOff>297180</xdr:rowOff>
                  </to>
                </anchor>
              </controlPr>
            </control>
          </mc:Choice>
        </mc:AlternateContent>
        <mc:AlternateContent xmlns:mc="http://schemas.openxmlformats.org/markup-compatibility/2006">
          <mc:Choice Requires="x14">
            <control shapeId="1131" r:id="rId35" name="Check Box 107">
              <controlPr defaultSize="0" autoFill="0" autoLine="0" autoPict="0">
                <anchor moveWithCells="1">
                  <from>
                    <xdr:col>6</xdr:col>
                    <xdr:colOff>121920</xdr:colOff>
                    <xdr:row>15</xdr:row>
                    <xdr:rowOff>68580</xdr:rowOff>
                  </from>
                  <to>
                    <xdr:col>13</xdr:col>
                    <xdr:colOff>106680</xdr:colOff>
                    <xdr:row>15</xdr:row>
                    <xdr:rowOff>304800</xdr:rowOff>
                  </to>
                </anchor>
              </controlPr>
            </control>
          </mc:Choice>
        </mc:AlternateContent>
        <mc:AlternateContent xmlns:mc="http://schemas.openxmlformats.org/markup-compatibility/2006">
          <mc:Choice Requires="x14">
            <control shapeId="1132" r:id="rId36" name="Check Box 108">
              <controlPr defaultSize="0" autoFill="0" autoLine="0" autoPict="0">
                <anchor moveWithCells="1">
                  <from>
                    <xdr:col>14</xdr:col>
                    <xdr:colOff>160020</xdr:colOff>
                    <xdr:row>15</xdr:row>
                    <xdr:rowOff>68580</xdr:rowOff>
                  </from>
                  <to>
                    <xdr:col>18</xdr:col>
                    <xdr:colOff>7620</xdr:colOff>
                    <xdr:row>15</xdr:row>
                    <xdr:rowOff>304800</xdr:rowOff>
                  </to>
                </anchor>
              </controlPr>
            </control>
          </mc:Choice>
        </mc:AlternateContent>
        <mc:AlternateContent xmlns:mc="http://schemas.openxmlformats.org/markup-compatibility/2006">
          <mc:Choice Requires="x14">
            <control shapeId="1118" r:id="rId37" name="Check Box 94">
              <controlPr defaultSize="0" autoFill="0" autoLine="0" autoPict="0">
                <anchor moveWithCells="1">
                  <from>
                    <xdr:col>6</xdr:col>
                    <xdr:colOff>121920</xdr:colOff>
                    <xdr:row>12</xdr:row>
                    <xdr:rowOff>68580</xdr:rowOff>
                  </from>
                  <to>
                    <xdr:col>9</xdr:col>
                    <xdr:colOff>76200</xdr:colOff>
                    <xdr:row>12</xdr:row>
                    <xdr:rowOff>304800</xdr:rowOff>
                  </to>
                </anchor>
              </controlPr>
            </control>
          </mc:Choice>
        </mc:AlternateContent>
        <mc:AlternateContent xmlns:mc="http://schemas.openxmlformats.org/markup-compatibility/2006">
          <mc:Choice Requires="x14">
            <control shapeId="1119" r:id="rId38" name="Check Box 95">
              <controlPr defaultSize="0" autoFill="0" autoLine="0" autoPict="0">
                <anchor moveWithCells="1">
                  <from>
                    <xdr:col>12</xdr:col>
                    <xdr:colOff>7620</xdr:colOff>
                    <xdr:row>12</xdr:row>
                    <xdr:rowOff>68580</xdr:rowOff>
                  </from>
                  <to>
                    <xdr:col>14</xdr:col>
                    <xdr:colOff>175260</xdr:colOff>
                    <xdr:row>12</xdr:row>
                    <xdr:rowOff>304800</xdr:rowOff>
                  </to>
                </anchor>
              </controlPr>
            </control>
          </mc:Choice>
        </mc:AlternateContent>
        <mc:AlternateContent xmlns:mc="http://schemas.openxmlformats.org/markup-compatibility/2006">
          <mc:Choice Requires="x14">
            <control shapeId="1222" r:id="rId39" name="Check Box 198">
              <controlPr defaultSize="0" autoFill="0" autoLine="0" autoPict="0">
                <anchor moveWithCells="1">
                  <from>
                    <xdr:col>6</xdr:col>
                    <xdr:colOff>121920</xdr:colOff>
                    <xdr:row>13</xdr:row>
                    <xdr:rowOff>68580</xdr:rowOff>
                  </from>
                  <to>
                    <xdr:col>9</xdr:col>
                    <xdr:colOff>76200</xdr:colOff>
                    <xdr:row>13</xdr:row>
                    <xdr:rowOff>304800</xdr:rowOff>
                  </to>
                </anchor>
              </controlPr>
            </control>
          </mc:Choice>
        </mc:AlternateContent>
        <mc:AlternateContent xmlns:mc="http://schemas.openxmlformats.org/markup-compatibility/2006">
          <mc:Choice Requires="x14">
            <control shapeId="1223" r:id="rId40" name="Check Box 199">
              <controlPr defaultSize="0" autoFill="0" autoLine="0" autoPict="0">
                <anchor moveWithCells="1">
                  <from>
                    <xdr:col>12</xdr:col>
                    <xdr:colOff>7620</xdr:colOff>
                    <xdr:row>13</xdr:row>
                    <xdr:rowOff>60960</xdr:rowOff>
                  </from>
                  <to>
                    <xdr:col>14</xdr:col>
                    <xdr:colOff>175260</xdr:colOff>
                    <xdr:row>13</xdr:row>
                    <xdr:rowOff>304800</xdr:rowOff>
                  </to>
                </anchor>
              </controlPr>
            </control>
          </mc:Choice>
        </mc:AlternateContent>
        <mc:AlternateContent xmlns:mc="http://schemas.openxmlformats.org/markup-compatibility/2006">
          <mc:Choice Requires="x14">
            <control shapeId="1226" r:id="rId41" name="Check Box 202">
              <controlPr defaultSize="0" autoFill="0" autoLine="0" autoPict="0">
                <anchor moveWithCells="1">
                  <from>
                    <xdr:col>6</xdr:col>
                    <xdr:colOff>137160</xdr:colOff>
                    <xdr:row>14</xdr:row>
                    <xdr:rowOff>91440</xdr:rowOff>
                  </from>
                  <to>
                    <xdr:col>9</xdr:col>
                    <xdr:colOff>76200</xdr:colOff>
                    <xdr:row>14</xdr:row>
                    <xdr:rowOff>327660</xdr:rowOff>
                  </to>
                </anchor>
              </controlPr>
            </control>
          </mc:Choice>
        </mc:AlternateContent>
        <mc:AlternateContent xmlns:mc="http://schemas.openxmlformats.org/markup-compatibility/2006">
          <mc:Choice Requires="x14">
            <control shapeId="1227" r:id="rId42" name="Check Box 203">
              <controlPr defaultSize="0" autoFill="0" autoLine="0" autoPict="0">
                <anchor moveWithCells="1">
                  <from>
                    <xdr:col>12</xdr:col>
                    <xdr:colOff>22860</xdr:colOff>
                    <xdr:row>14</xdr:row>
                    <xdr:rowOff>91440</xdr:rowOff>
                  </from>
                  <to>
                    <xdr:col>14</xdr:col>
                    <xdr:colOff>76200</xdr:colOff>
                    <xdr:row>14</xdr:row>
                    <xdr:rowOff>327660</xdr:rowOff>
                  </to>
                </anchor>
              </controlPr>
            </control>
          </mc:Choice>
        </mc:AlternateContent>
        <mc:AlternateContent xmlns:mc="http://schemas.openxmlformats.org/markup-compatibility/2006">
          <mc:Choice Requires="x14">
            <control shapeId="1237" r:id="rId43" name="Check Box 213">
              <controlPr defaultSize="0" autoFill="0" autoLine="0" autoPict="0">
                <anchor moveWithCells="1">
                  <from>
                    <xdr:col>18</xdr:col>
                    <xdr:colOff>0</xdr:colOff>
                    <xdr:row>14</xdr:row>
                    <xdr:rowOff>91440</xdr:rowOff>
                  </from>
                  <to>
                    <xdr:col>20</xdr:col>
                    <xdr:colOff>228600</xdr:colOff>
                    <xdr:row>14</xdr:row>
                    <xdr:rowOff>350520</xdr:rowOff>
                  </to>
                </anchor>
              </controlPr>
            </control>
          </mc:Choice>
        </mc:AlternateContent>
        <mc:AlternateContent xmlns:mc="http://schemas.openxmlformats.org/markup-compatibility/2006">
          <mc:Choice Requires="x14">
            <control shapeId="1120" r:id="rId44" name="Check Box 96">
              <controlPr defaultSize="0" autoFill="0" autoLine="0" autoPict="0">
                <anchor moveWithCells="1">
                  <from>
                    <xdr:col>6</xdr:col>
                    <xdr:colOff>121920</xdr:colOff>
                    <xdr:row>11</xdr:row>
                    <xdr:rowOff>83820</xdr:rowOff>
                  </from>
                  <to>
                    <xdr:col>9</xdr:col>
                    <xdr:colOff>160020</xdr:colOff>
                    <xdr:row>11</xdr:row>
                    <xdr:rowOff>320040</xdr:rowOff>
                  </to>
                </anchor>
              </controlPr>
            </control>
          </mc:Choice>
        </mc:AlternateContent>
        <mc:AlternateContent xmlns:mc="http://schemas.openxmlformats.org/markup-compatibility/2006">
          <mc:Choice Requires="x14">
            <control shapeId="1121" r:id="rId45" name="Check Box 97">
              <controlPr defaultSize="0" autoFill="0" autoLine="0" autoPict="0">
                <anchor moveWithCells="1">
                  <from>
                    <xdr:col>12</xdr:col>
                    <xdr:colOff>7620</xdr:colOff>
                    <xdr:row>11</xdr:row>
                    <xdr:rowOff>83820</xdr:rowOff>
                  </from>
                  <to>
                    <xdr:col>14</xdr:col>
                    <xdr:colOff>297180</xdr:colOff>
                    <xdr:row>11</xdr:row>
                    <xdr:rowOff>320040</xdr:rowOff>
                  </to>
                </anchor>
              </controlPr>
            </control>
          </mc:Choice>
        </mc:AlternateContent>
        <mc:AlternateContent xmlns:mc="http://schemas.openxmlformats.org/markup-compatibility/2006">
          <mc:Choice Requires="x14">
            <control shapeId="1125" r:id="rId46" name="Check Box 101">
              <controlPr defaultSize="0" autoFill="0" autoLine="0" autoPict="0">
                <anchor moveWithCells="1">
                  <from>
                    <xdr:col>18</xdr:col>
                    <xdr:colOff>0</xdr:colOff>
                    <xdr:row>11</xdr:row>
                    <xdr:rowOff>83820</xdr:rowOff>
                  </from>
                  <to>
                    <xdr:col>21</xdr:col>
                    <xdr:colOff>129540</xdr:colOff>
                    <xdr:row>11</xdr:row>
                    <xdr:rowOff>327660</xdr:rowOff>
                  </to>
                </anchor>
              </controlPr>
            </control>
          </mc:Choice>
        </mc:AlternateContent>
        <mc:AlternateContent xmlns:mc="http://schemas.openxmlformats.org/markup-compatibility/2006">
          <mc:Choice Requires="x14">
            <control shapeId="1224" r:id="rId47" name="Check Box 200">
              <controlPr defaultSize="0" autoFill="0" autoLine="0" autoPict="0">
                <anchor moveWithCells="1">
                  <from>
                    <xdr:col>6</xdr:col>
                    <xdr:colOff>121920</xdr:colOff>
                    <xdr:row>11</xdr:row>
                    <xdr:rowOff>373380</xdr:rowOff>
                  </from>
                  <to>
                    <xdr:col>9</xdr:col>
                    <xdr:colOff>160020</xdr:colOff>
                    <xdr:row>11</xdr:row>
                    <xdr:rowOff>609600</xdr:rowOff>
                  </to>
                </anchor>
              </controlPr>
            </control>
          </mc:Choice>
        </mc:AlternateContent>
        <mc:AlternateContent xmlns:mc="http://schemas.openxmlformats.org/markup-compatibility/2006">
          <mc:Choice Requires="x14">
            <control shapeId="1225" r:id="rId48" name="Check Box 201">
              <controlPr defaultSize="0" autoFill="0" autoLine="0" autoPict="0">
                <anchor moveWithCells="1">
                  <from>
                    <xdr:col>12</xdr:col>
                    <xdr:colOff>7620</xdr:colOff>
                    <xdr:row>11</xdr:row>
                    <xdr:rowOff>381000</xdr:rowOff>
                  </from>
                  <to>
                    <xdr:col>14</xdr:col>
                    <xdr:colOff>160020</xdr:colOff>
                    <xdr:row>11</xdr:row>
                    <xdr:rowOff>617220</xdr:rowOff>
                  </to>
                </anchor>
              </controlPr>
            </control>
          </mc:Choice>
        </mc:AlternateContent>
        <mc:AlternateContent xmlns:mc="http://schemas.openxmlformats.org/markup-compatibility/2006">
          <mc:Choice Requires="x14">
            <control shapeId="1068" r:id="rId49" name="Check Box 44">
              <controlPr defaultSize="0" autoFill="0" autoLine="0" autoPict="0">
                <anchor moveWithCells="1">
                  <from>
                    <xdr:col>6</xdr:col>
                    <xdr:colOff>121920</xdr:colOff>
                    <xdr:row>10</xdr:row>
                    <xdr:rowOff>68580</xdr:rowOff>
                  </from>
                  <to>
                    <xdr:col>9</xdr:col>
                    <xdr:colOff>289560</xdr:colOff>
                    <xdr:row>10</xdr:row>
                    <xdr:rowOff>304800</xdr:rowOff>
                  </to>
                </anchor>
              </controlPr>
            </control>
          </mc:Choice>
        </mc:AlternateContent>
        <mc:AlternateContent xmlns:mc="http://schemas.openxmlformats.org/markup-compatibility/2006">
          <mc:Choice Requires="x14">
            <control shapeId="1161" r:id="rId50" name="Check Box 137">
              <controlPr defaultSize="0" autoFill="0" autoLine="0" autoPict="0">
                <anchor moveWithCells="1">
                  <from>
                    <xdr:col>12</xdr:col>
                    <xdr:colOff>7620</xdr:colOff>
                    <xdr:row>10</xdr:row>
                    <xdr:rowOff>68580</xdr:rowOff>
                  </from>
                  <to>
                    <xdr:col>14</xdr:col>
                    <xdr:colOff>289560</xdr:colOff>
                    <xdr:row>10</xdr:row>
                    <xdr:rowOff>304800</xdr:rowOff>
                  </to>
                </anchor>
              </controlPr>
            </control>
          </mc:Choice>
        </mc:AlternateContent>
        <mc:AlternateContent xmlns:mc="http://schemas.openxmlformats.org/markup-compatibility/2006">
          <mc:Choice Requires="x14">
            <control shapeId="1182" r:id="rId51" name="Check Box 158">
              <controlPr defaultSize="0" autoFill="0" autoLine="0" autoPict="0">
                <anchor moveWithCells="1">
                  <from>
                    <xdr:col>9</xdr:col>
                    <xdr:colOff>182880</xdr:colOff>
                    <xdr:row>42</xdr:row>
                    <xdr:rowOff>45720</xdr:rowOff>
                  </from>
                  <to>
                    <xdr:col>17</xdr:col>
                    <xdr:colOff>106680</xdr:colOff>
                    <xdr:row>42</xdr:row>
                    <xdr:rowOff>289560</xdr:rowOff>
                  </to>
                </anchor>
              </controlPr>
            </control>
          </mc:Choice>
        </mc:AlternateContent>
        <mc:AlternateContent xmlns:mc="http://schemas.openxmlformats.org/markup-compatibility/2006">
          <mc:Choice Requires="x14">
            <control shapeId="1183" r:id="rId52" name="Check Box 159">
              <controlPr defaultSize="0" autoFill="0" autoLine="0" autoPict="0">
                <anchor moveWithCells="1">
                  <from>
                    <xdr:col>19</xdr:col>
                    <xdr:colOff>160020</xdr:colOff>
                    <xdr:row>42</xdr:row>
                    <xdr:rowOff>45720</xdr:rowOff>
                  </from>
                  <to>
                    <xdr:col>26</xdr:col>
                    <xdr:colOff>121920</xdr:colOff>
                    <xdr:row>42</xdr:row>
                    <xdr:rowOff>289560</xdr:rowOff>
                  </to>
                </anchor>
              </controlPr>
            </control>
          </mc:Choice>
        </mc:AlternateContent>
        <mc:AlternateContent xmlns:mc="http://schemas.openxmlformats.org/markup-compatibility/2006">
          <mc:Choice Requires="x14">
            <control shapeId="1189" r:id="rId53" name="Check Box 165">
              <controlPr defaultSize="0" autoFill="0" autoLine="0" autoPict="0">
                <anchor moveWithCells="1">
                  <from>
                    <xdr:col>9</xdr:col>
                    <xdr:colOff>182880</xdr:colOff>
                    <xdr:row>43</xdr:row>
                    <xdr:rowOff>45720</xdr:rowOff>
                  </from>
                  <to>
                    <xdr:col>17</xdr:col>
                    <xdr:colOff>106680</xdr:colOff>
                    <xdr:row>43</xdr:row>
                    <xdr:rowOff>289560</xdr:rowOff>
                  </to>
                </anchor>
              </controlPr>
            </control>
          </mc:Choice>
        </mc:AlternateContent>
        <mc:AlternateContent xmlns:mc="http://schemas.openxmlformats.org/markup-compatibility/2006">
          <mc:Choice Requires="x14">
            <control shapeId="1190" r:id="rId54" name="Check Box 166">
              <controlPr defaultSize="0" autoFill="0" autoLine="0" autoPict="0">
                <anchor moveWithCells="1">
                  <from>
                    <xdr:col>19</xdr:col>
                    <xdr:colOff>160020</xdr:colOff>
                    <xdr:row>43</xdr:row>
                    <xdr:rowOff>45720</xdr:rowOff>
                  </from>
                  <to>
                    <xdr:col>26</xdr:col>
                    <xdr:colOff>121920</xdr:colOff>
                    <xdr:row>43</xdr:row>
                    <xdr:rowOff>289560</xdr:rowOff>
                  </to>
                </anchor>
              </controlPr>
            </control>
          </mc:Choice>
        </mc:AlternateContent>
        <mc:AlternateContent xmlns:mc="http://schemas.openxmlformats.org/markup-compatibility/2006">
          <mc:Choice Requires="x14">
            <control shapeId="1129" r:id="rId55" name="Check Box 105">
              <controlPr defaultSize="0" autoFill="0" autoLine="0" autoPict="0">
                <anchor moveWithCells="1">
                  <from>
                    <xdr:col>5</xdr:col>
                    <xdr:colOff>388620</xdr:colOff>
                    <xdr:row>44</xdr:row>
                    <xdr:rowOff>68580</xdr:rowOff>
                  </from>
                  <to>
                    <xdr:col>12</xdr:col>
                    <xdr:colOff>175260</xdr:colOff>
                    <xdr:row>44</xdr:row>
                    <xdr:rowOff>304800</xdr:rowOff>
                  </to>
                </anchor>
              </controlPr>
            </control>
          </mc:Choice>
        </mc:AlternateContent>
        <mc:AlternateContent xmlns:mc="http://schemas.openxmlformats.org/markup-compatibility/2006">
          <mc:Choice Requires="x14">
            <control shapeId="1130" r:id="rId56" name="Check Box 106">
              <controlPr defaultSize="0" autoFill="0" autoLine="0" autoPict="0">
                <anchor moveWithCells="1">
                  <from>
                    <xdr:col>14</xdr:col>
                    <xdr:colOff>251460</xdr:colOff>
                    <xdr:row>44</xdr:row>
                    <xdr:rowOff>60960</xdr:rowOff>
                  </from>
                  <to>
                    <xdr:col>30</xdr:col>
                    <xdr:colOff>175260</xdr:colOff>
                    <xdr:row>44</xdr:row>
                    <xdr:rowOff>297180</xdr:rowOff>
                  </to>
                </anchor>
              </controlPr>
            </control>
          </mc:Choice>
        </mc:AlternateContent>
        <mc:AlternateContent xmlns:mc="http://schemas.openxmlformats.org/markup-compatibility/2006">
          <mc:Choice Requires="x14">
            <control shapeId="1147" r:id="rId57" name="Check Box 123">
              <controlPr defaultSize="0" autoFill="0" autoLine="0" autoPict="0">
                <anchor moveWithCells="1">
                  <from>
                    <xdr:col>4</xdr:col>
                    <xdr:colOff>342900</xdr:colOff>
                    <xdr:row>45</xdr:row>
                    <xdr:rowOff>68580</xdr:rowOff>
                  </from>
                  <to>
                    <xdr:col>5</xdr:col>
                    <xdr:colOff>342900</xdr:colOff>
                    <xdr:row>45</xdr:row>
                    <xdr:rowOff>304800</xdr:rowOff>
                  </to>
                </anchor>
              </controlPr>
            </control>
          </mc:Choice>
        </mc:AlternateContent>
        <mc:AlternateContent xmlns:mc="http://schemas.openxmlformats.org/markup-compatibility/2006">
          <mc:Choice Requires="x14">
            <control shapeId="1148" r:id="rId58" name="Check Box 124">
              <controlPr defaultSize="0" autoFill="0" autoLine="0" autoPict="0">
                <anchor moveWithCells="1">
                  <from>
                    <xdr:col>6</xdr:col>
                    <xdr:colOff>342900</xdr:colOff>
                    <xdr:row>45</xdr:row>
                    <xdr:rowOff>76200</xdr:rowOff>
                  </from>
                  <to>
                    <xdr:col>10</xdr:col>
                    <xdr:colOff>182880</xdr:colOff>
                    <xdr:row>45</xdr:row>
                    <xdr:rowOff>312420</xdr:rowOff>
                  </to>
                </anchor>
              </controlPr>
            </control>
          </mc:Choice>
        </mc:AlternateContent>
        <mc:AlternateContent xmlns:mc="http://schemas.openxmlformats.org/markup-compatibility/2006">
          <mc:Choice Requires="x14">
            <control shapeId="1149" r:id="rId59" name="Check Box 125">
              <controlPr defaultSize="0" autoFill="0" autoLine="0" autoPict="0">
                <anchor moveWithCells="1">
                  <from>
                    <xdr:col>23</xdr:col>
                    <xdr:colOff>99060</xdr:colOff>
                    <xdr:row>45</xdr:row>
                    <xdr:rowOff>68580</xdr:rowOff>
                  </from>
                  <to>
                    <xdr:col>25</xdr:col>
                    <xdr:colOff>0</xdr:colOff>
                    <xdr:row>45</xdr:row>
                    <xdr:rowOff>304800</xdr:rowOff>
                  </to>
                </anchor>
              </controlPr>
            </control>
          </mc:Choice>
        </mc:AlternateContent>
        <mc:AlternateContent xmlns:mc="http://schemas.openxmlformats.org/markup-compatibility/2006">
          <mc:Choice Requires="x14">
            <control shapeId="1150" r:id="rId60" name="Check Box 126">
              <controlPr defaultSize="0" autoFill="0" autoLine="0" autoPict="0">
                <anchor moveWithCells="1">
                  <from>
                    <xdr:col>25</xdr:col>
                    <xdr:colOff>160020</xdr:colOff>
                    <xdr:row>45</xdr:row>
                    <xdr:rowOff>68580</xdr:rowOff>
                  </from>
                  <to>
                    <xdr:col>26</xdr:col>
                    <xdr:colOff>502920</xdr:colOff>
                    <xdr:row>45</xdr:row>
                    <xdr:rowOff>304800</xdr:rowOff>
                  </to>
                </anchor>
              </controlPr>
            </control>
          </mc:Choice>
        </mc:AlternateContent>
        <mc:AlternateContent xmlns:mc="http://schemas.openxmlformats.org/markup-compatibility/2006">
          <mc:Choice Requires="x14">
            <control shapeId="1164" r:id="rId61" name="Check Box 140">
              <controlPr defaultSize="0" autoFill="0" autoLine="0" autoPict="0">
                <anchor moveWithCells="1">
                  <from>
                    <xdr:col>9</xdr:col>
                    <xdr:colOff>137160</xdr:colOff>
                    <xdr:row>48</xdr:row>
                    <xdr:rowOff>99060</xdr:rowOff>
                  </from>
                  <to>
                    <xdr:col>13</xdr:col>
                    <xdr:colOff>15240</xdr:colOff>
                    <xdr:row>48</xdr:row>
                    <xdr:rowOff>259080</xdr:rowOff>
                  </to>
                </anchor>
              </controlPr>
            </control>
          </mc:Choice>
        </mc:AlternateContent>
        <mc:AlternateContent xmlns:mc="http://schemas.openxmlformats.org/markup-compatibility/2006">
          <mc:Choice Requires="x14">
            <control shapeId="1165" r:id="rId62" name="Check Box 141">
              <controlPr defaultSize="0" autoFill="0" autoLine="0" autoPict="0">
                <anchor moveWithCells="1">
                  <from>
                    <xdr:col>5</xdr:col>
                    <xdr:colOff>297180</xdr:colOff>
                    <xdr:row>48</xdr:row>
                    <xdr:rowOff>99060</xdr:rowOff>
                  </from>
                  <to>
                    <xdr:col>6</xdr:col>
                    <xdr:colOff>152400</xdr:colOff>
                    <xdr:row>48</xdr:row>
                    <xdr:rowOff>259080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B19"/>
  <sheetViews>
    <sheetView showGridLines="0" zoomScaleNormal="100" zoomScaleSheetLayoutView="100" workbookViewId="0">
      <selection sqref="A1:AB1"/>
    </sheetView>
  </sheetViews>
  <sheetFormatPr defaultColWidth="9" defaultRowHeight="23.25" customHeight="1" x14ac:dyDescent="0.4"/>
  <cols>
    <col min="1" max="1" width="7.3984375" style="1" customWidth="1"/>
    <col min="2" max="2" width="6.5" style="1" customWidth="1"/>
    <col min="3" max="3" width="5.69921875" style="1" customWidth="1"/>
    <col min="4" max="4" width="4.59765625" style="1" customWidth="1"/>
    <col min="5" max="6" width="2.09765625" style="1" customWidth="1"/>
    <col min="7" max="7" width="4.09765625" style="1" customWidth="1"/>
    <col min="8" max="8" width="3.59765625" style="1" customWidth="1"/>
    <col min="9" max="9" width="2.09765625" style="1" customWidth="1"/>
    <col min="10" max="11" width="3.59765625" style="1" customWidth="1"/>
    <col min="12" max="12" width="4.19921875" style="1" customWidth="1"/>
    <col min="13" max="17" width="2.3984375" style="1" customWidth="1"/>
    <col min="18" max="18" width="3.3984375" style="1" customWidth="1"/>
    <col min="19" max="19" width="3.19921875" style="1" customWidth="1"/>
    <col min="20" max="20" width="1.8984375" style="1" customWidth="1"/>
    <col min="21" max="23" width="5.09765625" style="1" customWidth="1"/>
    <col min="24" max="24" width="7.09765625" style="1" customWidth="1"/>
    <col min="25" max="28" width="4.19921875" style="1" customWidth="1"/>
    <col min="29" max="16384" width="9" style="1"/>
  </cols>
  <sheetData>
    <row r="1" spans="1:28" ht="49.5" customHeight="1" x14ac:dyDescent="0.4">
      <c r="A1" s="63" t="s">
        <v>41</v>
      </c>
      <c r="B1" s="63"/>
      <c r="C1" s="63"/>
      <c r="D1" s="63"/>
      <c r="E1" s="63"/>
      <c r="F1" s="63"/>
      <c r="G1" s="63"/>
      <c r="H1" s="63"/>
      <c r="I1" s="63"/>
      <c r="J1" s="63"/>
      <c r="K1" s="63"/>
      <c r="L1" s="63"/>
      <c r="M1" s="63"/>
      <c r="N1" s="63"/>
      <c r="O1" s="63"/>
      <c r="P1" s="63"/>
      <c r="Q1" s="63"/>
      <c r="R1" s="63"/>
      <c r="S1" s="63"/>
      <c r="T1" s="63"/>
      <c r="U1" s="63"/>
      <c r="V1" s="63"/>
      <c r="W1" s="63"/>
      <c r="X1" s="63"/>
      <c r="Y1" s="63"/>
      <c r="Z1" s="63"/>
      <c r="AA1" s="63"/>
      <c r="AB1" s="64"/>
    </row>
    <row r="2" spans="1:28" ht="27.75" customHeight="1" x14ac:dyDescent="0.4">
      <c r="A2" s="6"/>
      <c r="B2" s="6"/>
      <c r="C2" s="6"/>
      <c r="D2" s="6"/>
      <c r="E2" s="6"/>
      <c r="F2" s="6"/>
      <c r="G2" s="6"/>
      <c r="H2" s="6"/>
      <c r="I2" s="6"/>
      <c r="J2" s="6"/>
      <c r="K2" s="6"/>
      <c r="L2" s="6"/>
      <c r="M2" s="6"/>
      <c r="N2" s="6"/>
      <c r="O2" s="6"/>
      <c r="P2" s="6"/>
      <c r="Q2" s="6"/>
      <c r="R2" s="6"/>
      <c r="S2" s="6"/>
      <c r="T2" s="6"/>
      <c r="U2" s="6"/>
      <c r="V2" s="6"/>
      <c r="W2" s="6"/>
      <c r="X2" s="6"/>
      <c r="Y2" s="6"/>
      <c r="Z2" s="6"/>
      <c r="AA2" s="6"/>
      <c r="AB2" s="7"/>
    </row>
    <row r="3" spans="1:28" ht="27.75" customHeight="1" x14ac:dyDescent="0.4">
      <c r="A3" s="74" t="s">
        <v>36</v>
      </c>
      <c r="B3" s="75"/>
      <c r="C3" s="76"/>
      <c r="D3" s="274" t="str">
        <f>IF('1.판매대행의뢰서'!G5="",'1.판매대행의뢰서'!G4,'1.판매대행의뢰서'!G4&amp;" : "&amp;'1.판매대행의뢰서'!G5)</f>
        <v xml:space="preserve"/>
      </c>
      <c r="E3" s="274"/>
      <c r="F3" s="274"/>
      <c r="G3" s="274"/>
      <c r="H3" s="274"/>
      <c r="I3" s="274"/>
      <c r="J3" s="274"/>
      <c r="K3" s="274"/>
      <c r="L3" s="274"/>
      <c r="M3" s="274"/>
      <c r="N3" s="274"/>
      <c r="O3" s="274"/>
      <c r="P3" s="274"/>
      <c r="Q3" s="274"/>
      <c r="R3" s="274"/>
      <c r="S3" s="274"/>
      <c r="T3" s="274"/>
      <c r="U3" s="274"/>
      <c r="V3" s="274"/>
      <c r="W3" s="274"/>
      <c r="X3" s="274"/>
      <c r="Y3" s="274"/>
      <c r="Z3" s="274"/>
      <c r="AA3" s="274"/>
      <c r="AB3" s="275"/>
    </row>
    <row r="4" spans="1:28" ht="27.75" customHeight="1" x14ac:dyDescent="0.4">
      <c r="A4" s="74" t="s">
        <v>5</v>
      </c>
      <c r="B4" s="75"/>
      <c r="C4" s="76"/>
      <c r="D4" s="218" t="str">
        <f>IF('1.판매대행의뢰서'!G9="","",'1.판매대행의뢰서'!G9)</f>
        <v/>
      </c>
      <c r="E4" s="207"/>
      <c r="F4" s="207"/>
      <c r="G4" s="207"/>
      <c r="H4" s="207"/>
      <c r="I4" s="207"/>
      <c r="J4" s="207"/>
      <c r="K4" s="207"/>
      <c r="L4" s="207"/>
      <c r="M4" s="207"/>
      <c r="N4" s="207"/>
      <c r="O4" s="207"/>
      <c r="P4" s="207"/>
      <c r="Q4" s="207"/>
      <c r="R4" s="207"/>
      <c r="S4" s="207"/>
      <c r="T4" s="207"/>
      <c r="U4" s="207"/>
      <c r="V4" s="207"/>
      <c r="W4" s="207"/>
      <c r="X4" s="207"/>
      <c r="Y4" s="207"/>
      <c r="Z4" s="207"/>
      <c r="AA4" s="207"/>
      <c r="AB4" s="276"/>
    </row>
    <row r="5" spans="1:28" ht="27.75" customHeight="1" x14ac:dyDescent="0.4">
      <c r="A5" s="74" t="s">
        <v>37</v>
      </c>
      <c r="B5" s="75"/>
      <c r="C5" s="76"/>
      <c r="D5" s="218"/>
      <c r="E5" s="207"/>
      <c r="F5" s="207"/>
      <c r="G5" s="207"/>
      <c r="H5" s="207"/>
      <c r="I5" s="207"/>
      <c r="J5" s="207"/>
      <c r="K5" s="207"/>
      <c r="L5" s="207"/>
      <c r="M5" s="207"/>
      <c r="N5" s="207"/>
      <c r="O5" s="207"/>
      <c r="P5" s="207"/>
      <c r="Q5" s="207"/>
      <c r="R5" s="207"/>
      <c r="S5" s="207"/>
      <c r="T5" s="207"/>
      <c r="U5" s="207"/>
      <c r="V5" s="207"/>
      <c r="W5" s="207"/>
      <c r="X5" s="207"/>
      <c r="Y5" s="207"/>
      <c r="Z5" s="207"/>
      <c r="AA5" s="207"/>
      <c r="AB5" s="276"/>
    </row>
    <row r="6" spans="1:28" ht="27.75" customHeight="1" x14ac:dyDescent="0.4">
      <c r="A6" s="218" t="s">
        <v>207</v>
      </c>
      <c r="B6" s="207"/>
      <c r="C6" s="219"/>
      <c r="D6" s="218" t="s">
        <v>205</v>
      </c>
      <c r="E6" s="207"/>
      <c r="F6" s="207"/>
      <c r="G6" s="207"/>
      <c r="H6" s="219"/>
      <c r="I6" s="218" t="inlineStr">
        <is>
          <t xml:space="preserve">해당 없음</t>
        </is>
      </c>
      <c r="J6" s="207"/>
      <c r="K6" s="207"/>
      <c r="L6" s="207"/>
      <c r="M6" s="207"/>
      <c r="N6" s="207"/>
      <c r="O6" s="207"/>
      <c r="P6" s="207"/>
      <c r="Q6" s="207"/>
      <c r="R6" s="219"/>
      <c r="S6" s="218" t="s">
        <v>206</v>
      </c>
      <c r="T6" s="207"/>
      <c r="U6" s="207"/>
      <c r="V6" s="219"/>
      <c r="W6" s="207"/>
      <c r="X6" s="207"/>
      <c r="Y6" s="207"/>
      <c r="Z6" s="207"/>
      <c r="AA6" s="207"/>
      <c r="AB6" s="276"/>
    </row>
    <row r="7" spans="1:28" ht="27.75" customHeight="1" x14ac:dyDescent="0.4">
      <c r="A7" s="218" t="s">
        <v>208</v>
      </c>
      <c r="B7" s="207"/>
      <c r="C7" s="219"/>
      <c r="D7" s="218"/>
      <c r="E7" s="207"/>
      <c r="F7" s="207"/>
      <c r="G7" s="207"/>
      <c r="H7" s="207"/>
      <c r="I7" s="207"/>
      <c r="J7" s="207"/>
      <c r="K7" s="207"/>
      <c r="L7" s="207"/>
      <c r="M7" s="272" t="s">
        <v>193</v>
      </c>
      <c r="N7" s="272"/>
      <c r="O7" s="233"/>
      <c r="P7" s="233"/>
      <c r="Q7" s="233"/>
      <c r="R7" s="233"/>
      <c r="S7" s="233"/>
      <c r="T7" s="233"/>
      <c r="U7" s="233"/>
      <c r="V7" s="233"/>
      <c r="W7" s="233"/>
      <c r="X7" s="233"/>
      <c r="Y7" s="233"/>
      <c r="Z7" s="233"/>
      <c r="AA7" s="233"/>
      <c r="AB7" s="273"/>
    </row>
    <row r="8" spans="1:28" ht="27.75" customHeight="1" x14ac:dyDescent="0.4">
      <c r="A8" s="74" t="s">
        <v>38</v>
      </c>
      <c r="B8" s="75"/>
      <c r="C8" s="76"/>
      <c r="D8" s="257" t="str">
        <f>"   ◎ 공연 기간 : "&amp;'1.판매대행의뢰서'!G6</f>
        <v xml:space="preserve">   ◎ 공연 기간 : </v>
      </c>
      <c r="E8" s="258"/>
      <c r="F8" s="258"/>
      <c r="G8" s="258"/>
      <c r="H8" s="258"/>
      <c r="I8" s="258"/>
      <c r="J8" s="258"/>
      <c r="K8" s="258"/>
      <c r="L8" s="258"/>
      <c r="M8" s="258"/>
      <c r="N8" s="258"/>
      <c r="O8" s="258"/>
      <c r="P8" s="258"/>
      <c r="Q8" s="258"/>
      <c r="R8" s="258"/>
      <c r="S8" s="258"/>
      <c r="T8" s="258"/>
      <c r="U8" s="258"/>
      <c r="V8" s="258"/>
      <c r="W8" s="258"/>
      <c r="X8" s="258"/>
      <c r="Y8" s="258"/>
      <c r="Z8" s="258"/>
      <c r="AA8" s="258"/>
      <c r="AB8" s="259"/>
    </row>
    <row r="9" spans="1:28" ht="27.75" customHeight="1" x14ac:dyDescent="0.4">
      <c r="A9" s="77"/>
      <c r="B9" s="78"/>
      <c r="C9" s="79"/>
      <c r="D9" s="257" t="str">
        <f>"   ◎ 공연 시간 : "&amp;TEXT('1.판매대행의뢰서'!G7,"h:mm")</f>
        <v xml:space="preserve">   ◎ 공연 시간 : </v>
      </c>
      <c r="E9" s="258"/>
      <c r="F9" s="258"/>
      <c r="G9" s="258"/>
      <c r="H9" s="258"/>
      <c r="I9" s="258"/>
      <c r="J9" s="258"/>
      <c r="K9" s="258"/>
      <c r="L9" s="258"/>
      <c r="M9" s="258"/>
      <c r="N9" s="258"/>
      <c r="O9" s="258"/>
      <c r="P9" s="258"/>
      <c r="Q9" s="258"/>
      <c r="R9" s="258"/>
      <c r="S9" s="258"/>
      <c r="T9" s="258"/>
      <c r="U9" s="258"/>
      <c r="V9" s="258"/>
      <c r="W9" s="258"/>
      <c r="X9" s="258"/>
      <c r="Y9" s="258"/>
      <c r="Z9" s="258"/>
      <c r="AA9" s="258"/>
      <c r="AB9" s="259"/>
    </row>
    <row r="10" spans="1:28" ht="27.75" customHeight="1" x14ac:dyDescent="0.4">
      <c r="A10" s="77"/>
      <c r="B10" s="78"/>
      <c r="C10" s="79"/>
      <c r="D10" s="257" t="str">
        <f>"   ◎ 공연 장소 : "&amp;'1.판매대행의뢰서'!G8</f>
        <v xml:space="preserve">   ◎ 공연 장소 : </v>
      </c>
      <c r="E10" s="258"/>
      <c r="F10" s="258"/>
      <c r="G10" s="258"/>
      <c r="H10" s="258"/>
      <c r="I10" s="258"/>
      <c r="J10" s="258"/>
      <c r="K10" s="258"/>
      <c r="L10" s="258"/>
      <c r="M10" s="258"/>
      <c r="N10" s="258"/>
      <c r="O10" s="258"/>
      <c r="P10" s="258"/>
      <c r="Q10" s="258"/>
      <c r="R10" s="258"/>
      <c r="S10" s="258"/>
      <c r="T10" s="258"/>
      <c r="U10" s="258"/>
      <c r="V10" s="258"/>
      <c r="W10" s="258"/>
      <c r="X10" s="258"/>
      <c r="Y10" s="258"/>
      <c r="Z10" s="258"/>
      <c r="AA10" s="258"/>
      <c r="AB10" s="259"/>
    </row>
    <row r="11" spans="1:28" ht="27.75" customHeight="1" x14ac:dyDescent="0.4">
      <c r="A11" s="77"/>
      <c r="B11" s="78"/>
      <c r="C11" s="79"/>
      <c r="D11" s="257" t="inlineStr">
        <is>
          <t xml:space="preserve"> ◎ 티켓 가격 : </t>
        </is>
      </c>
      <c r="E11" s="258"/>
      <c r="F11" s="258"/>
      <c r="G11" s="258"/>
      <c r="H11" s="258"/>
      <c r="I11" s="258"/>
      <c r="J11" s="258"/>
      <c r="K11" s="258"/>
      <c r="L11" s="258"/>
      <c r="M11" s="258"/>
      <c r="N11" s="258"/>
      <c r="O11" s="258"/>
      <c r="P11" s="258"/>
      <c r="Q11" s="258"/>
      <c r="R11" s="258"/>
      <c r="S11" s="258"/>
      <c r="T11" s="258"/>
      <c r="U11" s="258"/>
      <c r="V11" s="258"/>
      <c r="W11" s="258"/>
      <c r="X11" s="258"/>
      <c r="Y11" s="258"/>
      <c r="Z11" s="258"/>
      <c r="AA11" s="258"/>
      <c r="AB11" s="259"/>
    </row>
    <row r="12" spans="1:28" ht="171" customHeight="1" x14ac:dyDescent="0.4">
      <c r="A12" s="77"/>
      <c r="B12" s="78"/>
      <c r="C12" s="79"/>
      <c r="D12" s="266" t="str">
        <f>"   ◎ 기타 정보 : "&amp;CHAR(10)&amp;"    - 관람연령 : "&amp;TRIM('1.판매대행의뢰서'!AA6&amp;" "&amp;'1.판매대행의뢰서'!AD6)&amp;CHAR(10)&amp;"    - 관람시간 : "&amp;TRIM('1.판매대행의뢰서'!AB7&amp;'1.판매대행의뢰서'!AD7)&amp;CHAR(10)&amp;"    - 할인정보 : "&amp;TRIM('1.판매대행의뢰서'!E30)</f>
        <v xml:space="preserve">   ◎ 기타 정보 : 
    - 관람연령 : 
    - 관람시간 : 
    - 할인정보 : </v>
      </c>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8"/>
    </row>
    <row r="13" spans="1:28" ht="322.2" customHeight="1" x14ac:dyDescent="0.4">
      <c r="A13" s="109"/>
      <c r="B13" s="99"/>
      <c r="C13" s="110"/>
      <c r="D13" s="269"/>
      <c r="E13" s="270"/>
      <c r="F13" s="270"/>
      <c r="G13" s="270"/>
      <c r="H13" s="270"/>
      <c r="I13" s="270"/>
      <c r="J13" s="270"/>
      <c r="K13" s="270"/>
      <c r="L13" s="270"/>
      <c r="M13" s="270"/>
      <c r="N13" s="270"/>
      <c r="O13" s="270"/>
      <c r="P13" s="270"/>
      <c r="Q13" s="270"/>
      <c r="R13" s="270"/>
      <c r="S13" s="270"/>
      <c r="T13" s="270"/>
      <c r="U13" s="270"/>
      <c r="V13" s="270"/>
      <c r="W13" s="270"/>
      <c r="X13" s="270"/>
      <c r="Y13" s="270"/>
      <c r="Z13" s="270"/>
      <c r="AA13" s="270"/>
      <c r="AB13" s="271"/>
    </row>
    <row r="14" spans="1:28" ht="27.75" customHeight="1" x14ac:dyDescent="0.4">
      <c r="A14" s="74" t="s">
        <v>39</v>
      </c>
      <c r="B14" s="75"/>
      <c r="C14" s="76"/>
      <c r="D14" s="257" t="str">
        <f>"   ◎ 주최 : "&amp;TRIM(MID('1.판매대행의뢰서'!E34,FIND(":",'1.판매대행의뢰서'!E34)+1,100))</f>
        <v xml:space="preserve">   ◎ 주최 : GS칼텍스 예울마루</v>
      </c>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9"/>
    </row>
    <row r="15" spans="1:28" ht="27.75" customHeight="1" x14ac:dyDescent="0.4">
      <c r="A15" s="77"/>
      <c r="B15" s="78"/>
      <c r="C15" s="79"/>
      <c r="D15" s="257" t="str">
        <f>"   ◎ 주관 : "&amp;TRIM(MID('1.판매대행의뢰서'!E35,FIND(":",'1.판매대행의뢰서'!E35)+1,100))</f>
        <v xml:space="preserve">   ◎ 주관 : GS칼텍스 예울마루</v>
      </c>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9"/>
    </row>
    <row r="16" spans="1:28" ht="27.75" customHeight="1" x14ac:dyDescent="0.4">
      <c r="A16" s="77"/>
      <c r="B16" s="78"/>
      <c r="C16" s="79"/>
      <c r="D16" s="257" t="str">
        <f>"   ◎ 협찬 : "&amp;TRIM(MID('1.판매대행의뢰서'!E36,FIND(":",'1.판매대행의뢰서'!E36)+1,100))</f>
        <v xml:space="preserve">   ◎ 협찬 : </v>
      </c>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9"/>
    </row>
    <row r="17" spans="1:28" ht="27.75" customHeight="1" x14ac:dyDescent="0.4">
      <c r="A17" s="109"/>
      <c r="B17" s="99"/>
      <c r="C17" s="110"/>
      <c r="D17" s="257" t="str">
        <f>"   ◎ 문의 : "&amp;TRIM(MID('1.판매대행의뢰서'!E37,FIND(":",'1.판매대행의뢰서'!E37)+1,100))</f>
        <v xml:space="preserve">   ◎ 문의 : 1544-7669</v>
      </c>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9"/>
    </row>
    <row r="18" spans="1:28" ht="306.75" customHeight="1" thickBot="1" x14ac:dyDescent="0.45">
      <c r="A18" s="260" t="s">
        <v>40</v>
      </c>
      <c r="B18" s="261"/>
      <c r="C18" s="262"/>
      <c r="D18" s="263"/>
      <c r="E18" s="264"/>
      <c r="F18" s="264"/>
      <c r="G18" s="264"/>
      <c r="H18" s="264"/>
      <c r="I18" s="264"/>
      <c r="J18" s="264"/>
      <c r="K18" s="264"/>
      <c r="L18" s="264"/>
      <c r="M18" s="264"/>
      <c r="N18" s="264"/>
      <c r="O18" s="264"/>
      <c r="P18" s="264"/>
      <c r="Q18" s="264"/>
      <c r="R18" s="264"/>
      <c r="S18" s="264"/>
      <c r="T18" s="264"/>
      <c r="U18" s="264"/>
      <c r="V18" s="264"/>
      <c r="W18" s="264"/>
      <c r="X18" s="264"/>
      <c r="Y18" s="264"/>
      <c r="Z18" s="264"/>
      <c r="AA18" s="264"/>
      <c r="AB18" s="265"/>
    </row>
    <row r="19" spans="1:28" ht="23.25" customHeigh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sheetData>
  <mergeCells count="29">
    <mergeCell ref="A7:C7"/>
    <mergeCell ref="D7:L7"/>
    <mergeCell ref="M7:N7"/>
    <mergeCell ref="O7:AB7"/>
    <mergeCell ref="A1:AB1"/>
    <mergeCell ref="D3:AB3"/>
    <mergeCell ref="A3:C3"/>
    <mergeCell ref="D5:AB5"/>
    <mergeCell ref="A6:C6"/>
    <mergeCell ref="D6:H6"/>
    <mergeCell ref="A5:C5"/>
    <mergeCell ref="A4:C4"/>
    <mergeCell ref="I6:R6"/>
    <mergeCell ref="S6:V6"/>
    <mergeCell ref="W6:AB6"/>
    <mergeCell ref="D4:AB4"/>
    <mergeCell ref="A18:C18"/>
    <mergeCell ref="D18:AB18"/>
    <mergeCell ref="D12:AB13"/>
    <mergeCell ref="D11:AB11"/>
    <mergeCell ref="D10:AB10"/>
    <mergeCell ref="D17:AB17"/>
    <mergeCell ref="D8:AB8"/>
    <mergeCell ref="D9:AB9"/>
    <mergeCell ref="A8:C13"/>
    <mergeCell ref="D15:AB15"/>
    <mergeCell ref="D16:AB16"/>
    <mergeCell ref="A14:C17"/>
    <mergeCell ref="D14:AB14"/>
  </mergeCells>
  <phoneticPr fontId="1" type="noConversion"/>
  <printOptions horizontalCentered="1"/>
  <pageMargins left="0.39370078740157483" right="0.39370078740157483" top="0.39370078740157483" bottom="0.39370078740157483" header="0.31496062992125984" footer="0.31496062992125984"/>
  <pageSetup paperSize="9" scale="6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3</xdr:col>
                    <xdr:colOff>182880</xdr:colOff>
                    <xdr:row>3</xdr:row>
                    <xdr:rowOff>60960</xdr:rowOff>
                  </from>
                  <to>
                    <xdr:col>6</xdr:col>
                    <xdr:colOff>53340</xdr:colOff>
                    <xdr:row>3</xdr:row>
                    <xdr:rowOff>297180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9</xdr:col>
                    <xdr:colOff>30480</xdr:colOff>
                    <xdr:row>3</xdr:row>
                    <xdr:rowOff>60960</xdr:rowOff>
                  </from>
                  <to>
                    <xdr:col>11</xdr:col>
                    <xdr:colOff>30480</xdr:colOff>
                    <xdr:row>3</xdr:row>
                    <xdr:rowOff>297180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11</xdr:col>
                    <xdr:colOff>38100</xdr:colOff>
                    <xdr:row>3</xdr:row>
                    <xdr:rowOff>53340</xdr:rowOff>
                  </from>
                  <to>
                    <xdr:col>15</xdr:col>
                    <xdr:colOff>68580</xdr:colOff>
                    <xdr:row>3</xdr:row>
                    <xdr:rowOff>297180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6</xdr:col>
                    <xdr:colOff>144780</xdr:colOff>
                    <xdr:row>3</xdr:row>
                    <xdr:rowOff>53340</xdr:rowOff>
                  </from>
                  <to>
                    <xdr:col>8</xdr:col>
                    <xdr:colOff>106680</xdr:colOff>
                    <xdr:row>3</xdr:row>
                    <xdr:rowOff>297180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22</xdr:col>
                    <xdr:colOff>129540</xdr:colOff>
                    <xdr:row>3</xdr:row>
                    <xdr:rowOff>60960</xdr:rowOff>
                  </from>
                  <to>
                    <xdr:col>24</xdr:col>
                    <xdr:colOff>15240</xdr:colOff>
                    <xdr:row>3</xdr:row>
                    <xdr:rowOff>297180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20</xdr:col>
                    <xdr:colOff>30480</xdr:colOff>
                    <xdr:row>3</xdr:row>
                    <xdr:rowOff>60960</xdr:rowOff>
                  </from>
                  <to>
                    <xdr:col>22</xdr:col>
                    <xdr:colOff>68580</xdr:colOff>
                    <xdr:row>3</xdr:row>
                    <xdr:rowOff>297180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3</xdr:col>
                    <xdr:colOff>266700</xdr:colOff>
                    <xdr:row>4</xdr:row>
                    <xdr:rowOff>68580</xdr:rowOff>
                  </from>
                  <to>
                    <xdr:col>7</xdr:col>
                    <xdr:colOff>0</xdr:colOff>
                    <xdr:row>4</xdr:row>
                    <xdr:rowOff>304800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8</xdr:col>
                    <xdr:colOff>30480</xdr:colOff>
                    <xdr:row>4</xdr:row>
                    <xdr:rowOff>68580</xdr:rowOff>
                  </from>
                  <to>
                    <xdr:col>11</xdr:col>
                    <xdr:colOff>38100</xdr:colOff>
                    <xdr:row>4</xdr:row>
                    <xdr:rowOff>304800</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24</xdr:col>
                    <xdr:colOff>76200</xdr:colOff>
                    <xdr:row>3</xdr:row>
                    <xdr:rowOff>60960</xdr:rowOff>
                  </from>
                  <to>
                    <xdr:col>27</xdr:col>
                    <xdr:colOff>144780</xdr:colOff>
                    <xdr:row>3</xdr:row>
                    <xdr:rowOff>297180</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15</xdr:col>
                    <xdr:colOff>137160</xdr:colOff>
                    <xdr:row>3</xdr:row>
                    <xdr:rowOff>60960</xdr:rowOff>
                  </from>
                  <to>
                    <xdr:col>19</xdr:col>
                    <xdr:colOff>114300</xdr:colOff>
                    <xdr:row>3</xdr:row>
                    <xdr:rowOff>297180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3</xdr:col>
                    <xdr:colOff>266700</xdr:colOff>
                    <xdr:row>6</xdr:row>
                    <xdr:rowOff>53340</xdr:rowOff>
                  </from>
                  <to>
                    <xdr:col>7</xdr:col>
                    <xdr:colOff>99060</xdr:colOff>
                    <xdr:row>6</xdr:row>
                    <xdr:rowOff>289560</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8</xdr:col>
                    <xdr:colOff>30480</xdr:colOff>
                    <xdr:row>6</xdr:row>
                    <xdr:rowOff>53340</xdr:rowOff>
                  </from>
                  <to>
                    <xdr:col>10</xdr:col>
                    <xdr:colOff>220980</xdr:colOff>
                    <xdr:row>6</xdr:row>
                    <xdr:rowOff>289560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D13"/>
  <sheetViews>
    <sheetView showGridLines="0" zoomScaleNormal="100" zoomScaleSheetLayoutView="100" workbookViewId="0">
      <selection activeCell="D11" sqref="D11"/>
    </sheetView>
  </sheetViews>
  <sheetFormatPr defaultColWidth="9" defaultRowHeight="23.25" customHeight="1" x14ac:dyDescent="0.4"/>
  <cols>
    <col min="1" max="1" width="22.59765625" style="1" customWidth="1"/>
    <col min="2" max="2" width="37.3984375" style="1" customWidth="1"/>
    <col min="3" max="3" width="22.59765625" style="1" customWidth="1"/>
    <col min="4" max="4" width="34.3984375" style="1" customWidth="1"/>
    <col min="5" max="16384" width="9" style="1"/>
  </cols>
  <sheetData>
    <row r="1" spans="1:4" ht="49.5" customHeight="1" x14ac:dyDescent="0.4">
      <c r="A1" s="62" t="s">
        <v>49</v>
      </c>
      <c r="B1" s="63"/>
      <c r="C1" s="63"/>
      <c r="D1" s="64"/>
    </row>
    <row r="2" spans="1:4" ht="27.75" customHeight="1" x14ac:dyDescent="0.4">
      <c r="A2" s="5"/>
      <c r="B2" s="6"/>
      <c r="C2" s="6"/>
      <c r="D2" s="7"/>
    </row>
    <row r="3" spans="1:4" ht="27.75" customHeight="1" x14ac:dyDescent="0.4">
      <c r="A3" s="48" t="s">
        <v>50</v>
      </c>
      <c r="B3" s="12" t="s">
        <v>51</v>
      </c>
      <c r="C3" s="12" t="s">
        <v>59</v>
      </c>
      <c r="D3" s="13" t="s">
        <v>7</v>
      </c>
    </row>
    <row r="4" spans="1:4" ht="32.549999999999997" customHeight="1" x14ac:dyDescent="0.4">
      <c r="A4" s="49" t="s">
        <v>99</v>
      </c>
      <c r="B4" s="14" t="s">
        <v>57</v>
      </c>
      <c r="C4" s="11" t="s">
        <v>60</v>
      </c>
      <c r="D4" s="15" t="s">
        <v>217</v>
      </c>
    </row>
    <row r="5" spans="1:4" ht="28.95" customHeight="1" x14ac:dyDescent="0.4">
      <c r="A5" s="49" t="s">
        <v>98</v>
      </c>
      <c r="B5" s="14" t="s">
        <v>57</v>
      </c>
      <c r="C5" s="11" t="s">
        <v>100</v>
      </c>
      <c r="D5" s="15" t="s">
        <v>179</v>
      </c>
    </row>
    <row r="6" spans="1:4" ht="27.75" customHeight="1" x14ac:dyDescent="0.4">
      <c r="A6" s="49" t="s">
        <v>53</v>
      </c>
      <c r="B6" s="11" t="s">
        <v>219</v>
      </c>
      <c r="C6" s="11" t="s">
        <v>60</v>
      </c>
      <c r="D6" s="16" t="s">
        <v>62</v>
      </c>
    </row>
    <row r="7" spans="1:4" ht="27.75" customHeight="1" x14ac:dyDescent="0.4">
      <c r="A7" s="49" t="s">
        <v>54</v>
      </c>
      <c r="B7" s="11" t="s">
        <v>117</v>
      </c>
      <c r="C7" s="11" t="s">
        <v>60</v>
      </c>
      <c r="D7" s="16" t="s">
        <v>61</v>
      </c>
    </row>
    <row r="8" spans="1:4" ht="27.75" customHeight="1" x14ac:dyDescent="0.4">
      <c r="A8" s="50" t="s">
        <v>52</v>
      </c>
      <c r="B8" s="11" t="s">
        <v>216</v>
      </c>
      <c r="C8" s="11" t="s">
        <v>60</v>
      </c>
      <c r="D8" s="16"/>
    </row>
    <row r="9" spans="1:4" ht="27.75" customHeight="1" x14ac:dyDescent="0.4">
      <c r="A9" s="50" t="s">
        <v>56</v>
      </c>
      <c r="B9" s="11" t="s">
        <v>214</v>
      </c>
      <c r="C9" s="11" t="s">
        <v>60</v>
      </c>
      <c r="D9" s="16"/>
    </row>
    <row r="10" spans="1:4" ht="27.75" customHeight="1" x14ac:dyDescent="0.4">
      <c r="A10" s="50" t="s">
        <v>211</v>
      </c>
      <c r="B10" s="11" t="s">
        <v>215</v>
      </c>
      <c r="C10" s="11" t="s">
        <v>60</v>
      </c>
      <c r="D10" s="16"/>
    </row>
    <row r="11" spans="1:4" ht="27.75" customHeight="1" x14ac:dyDescent="0.4">
      <c r="A11" s="59" t="s">
        <v>212</v>
      </c>
      <c r="B11" s="58" t="s">
        <v>213</v>
      </c>
      <c r="C11" s="11" t="s">
        <v>60</v>
      </c>
      <c r="D11" s="60"/>
    </row>
    <row r="12" spans="1:4" ht="47.4" thickBot="1" x14ac:dyDescent="0.45">
      <c r="A12" s="51" t="s">
        <v>118</v>
      </c>
      <c r="B12" s="52" t="s">
        <v>120</v>
      </c>
      <c r="C12" s="52" t="s">
        <v>60</v>
      </c>
      <c r="D12" s="53"/>
    </row>
    <row r="13" spans="1:4" ht="23.25" customHeight="1" x14ac:dyDescent="0.4">
      <c r="A13" s="61" t="s">
        <v>55</v>
      </c>
      <c r="B13" s="61"/>
      <c r="C13" s="61"/>
      <c r="D13" s="61"/>
    </row>
  </sheetData>
  <mergeCells count="2">
    <mergeCell ref="A13:D13"/>
    <mergeCell ref="A1:D1"/>
  </mergeCells>
  <phoneticPr fontId="1" type="noConversion"/>
  <printOptions horizontalCentered="1"/>
  <pageMargins left="0.39370078740157483" right="0.39370078740157483" top="0.39370078740157483" bottom="0.39370078740157483" header="0.31496062992125984" footer="0.31496062992125984"/>
  <pageSetup paperSize="9"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F41"/>
  <sheetViews>
    <sheetView workbookViewId="0">
      <selection activeCell="H13" sqref="H13"/>
    </sheetView>
  </sheetViews>
  <sheetFormatPr defaultRowHeight="22.5" customHeight="1" x14ac:dyDescent="0.4"/>
  <cols>
    <col min="2" max="2" width="24.5" customWidth="1"/>
    <col min="3" max="3" width="3.59765625" customWidth="1"/>
    <col min="4" max="6" width="24.5" customWidth="1"/>
  </cols>
  <sheetData>
    <row r="1" spans="2:6" ht="22.5" customHeight="1" x14ac:dyDescent="0.4">
      <c r="B1" s="279" t="s">
        <v>97</v>
      </c>
      <c r="C1" s="279"/>
      <c r="D1" s="279"/>
      <c r="E1" s="279"/>
      <c r="F1" s="279"/>
    </row>
    <row r="3" spans="2:6" ht="22.5" customHeight="1" x14ac:dyDescent="0.4">
      <c r="B3" s="277" t="s">
        <v>92</v>
      </c>
      <c r="C3" s="278"/>
      <c r="D3" s="33" t="s">
        <v>93</v>
      </c>
      <c r="E3" s="33" t="s">
        <v>94</v>
      </c>
      <c r="F3" s="33" t="s">
        <v>95</v>
      </c>
    </row>
    <row r="4" spans="2:6" ht="22.5" customHeight="1" x14ac:dyDescent="0.4">
      <c r="B4" s="35"/>
      <c r="C4" s="34" t="s">
        <v>96</v>
      </c>
      <c r="D4" s="36"/>
      <c r="E4" s="37"/>
      <c r="F4" s="32"/>
    </row>
    <row r="5" spans="2:6" ht="22.5" customHeight="1" x14ac:dyDescent="0.4">
      <c r="B5" s="35"/>
      <c r="C5" s="34" t="s">
        <v>96</v>
      </c>
      <c r="D5" s="36"/>
      <c r="E5" s="37"/>
      <c r="F5" s="32"/>
    </row>
    <row r="6" spans="2:6" ht="22.5" customHeight="1" x14ac:dyDescent="0.4">
      <c r="B6" s="35"/>
      <c r="C6" s="34" t="s">
        <v>96</v>
      </c>
      <c r="D6" s="36"/>
      <c r="E6" s="37"/>
      <c r="F6" s="32"/>
    </row>
    <row r="7" spans="2:6" ht="22.5" customHeight="1" x14ac:dyDescent="0.4">
      <c r="B7" s="35"/>
      <c r="C7" s="34" t="s">
        <v>96</v>
      </c>
      <c r="D7" s="36"/>
      <c r="E7" s="37"/>
      <c r="F7" s="32"/>
    </row>
    <row r="8" spans="2:6" ht="22.5" customHeight="1" x14ac:dyDescent="0.4">
      <c r="B8" s="35"/>
      <c r="C8" s="34" t="s">
        <v>96</v>
      </c>
      <c r="D8" s="36"/>
      <c r="E8" s="37"/>
      <c r="F8" s="32"/>
    </row>
    <row r="9" spans="2:6" ht="22.5" customHeight="1" x14ac:dyDescent="0.4">
      <c r="B9" s="35"/>
      <c r="C9" s="34" t="s">
        <v>96</v>
      </c>
      <c r="D9" s="36"/>
      <c r="E9" s="37"/>
      <c r="F9" s="32"/>
    </row>
    <row r="10" spans="2:6" ht="22.5" customHeight="1" x14ac:dyDescent="0.4">
      <c r="B10" s="35"/>
      <c r="C10" s="34" t="s">
        <v>96</v>
      </c>
      <c r="D10" s="36"/>
      <c r="E10" s="37"/>
      <c r="F10" s="32"/>
    </row>
    <row r="11" spans="2:6" ht="22.5" customHeight="1" x14ac:dyDescent="0.4">
      <c r="B11" s="35"/>
      <c r="C11" s="34" t="s">
        <v>96</v>
      </c>
      <c r="D11" s="36"/>
      <c r="E11" s="37"/>
      <c r="F11" s="32"/>
    </row>
    <row r="12" spans="2:6" ht="22.5" customHeight="1" x14ac:dyDescent="0.4">
      <c r="B12" s="35"/>
      <c r="C12" s="34" t="s">
        <v>96</v>
      </c>
      <c r="D12" s="36"/>
      <c r="E12" s="37"/>
      <c r="F12" s="32"/>
    </row>
    <row r="13" spans="2:6" ht="22.5" customHeight="1" x14ac:dyDescent="0.4">
      <c r="B13" s="35"/>
      <c r="C13" s="34" t="s">
        <v>96</v>
      </c>
      <c r="D13" s="36"/>
      <c r="E13" s="37"/>
      <c r="F13" s="32"/>
    </row>
    <row r="14" spans="2:6" ht="22.5" customHeight="1" x14ac:dyDescent="0.4">
      <c r="B14" s="35"/>
      <c r="C14" s="34" t="s">
        <v>96</v>
      </c>
      <c r="D14" s="36"/>
      <c r="E14" s="37"/>
      <c r="F14" s="32"/>
    </row>
    <row r="15" spans="2:6" ht="22.5" customHeight="1" x14ac:dyDescent="0.4">
      <c r="B15" s="35"/>
      <c r="C15" s="34" t="s">
        <v>96</v>
      </c>
      <c r="D15" s="36"/>
      <c r="E15" s="37"/>
      <c r="F15" s="32"/>
    </row>
    <row r="16" spans="2:6" ht="22.5" customHeight="1" x14ac:dyDescent="0.4">
      <c r="B16" s="35"/>
      <c r="C16" s="34" t="s">
        <v>96</v>
      </c>
      <c r="D16" s="36"/>
      <c r="E16" s="37"/>
      <c r="F16" s="32"/>
    </row>
    <row r="17" spans="2:6" ht="22.5" customHeight="1" x14ac:dyDescent="0.4">
      <c r="B17" s="35"/>
      <c r="C17" s="34" t="s">
        <v>96</v>
      </c>
      <c r="D17" s="36"/>
      <c r="E17" s="37"/>
      <c r="F17" s="32"/>
    </row>
    <row r="18" spans="2:6" ht="22.5" customHeight="1" x14ac:dyDescent="0.4">
      <c r="B18" s="35"/>
      <c r="C18" s="34" t="s">
        <v>96</v>
      </c>
      <c r="D18" s="36"/>
      <c r="E18" s="37"/>
      <c r="F18" s="32"/>
    </row>
    <row r="19" spans="2:6" ht="22.5" customHeight="1" x14ac:dyDescent="0.4">
      <c r="B19" s="35"/>
      <c r="C19" s="34" t="s">
        <v>96</v>
      </c>
      <c r="D19" s="36"/>
      <c r="E19" s="37"/>
      <c r="F19" s="32"/>
    </row>
    <row r="20" spans="2:6" ht="22.5" customHeight="1" x14ac:dyDescent="0.4">
      <c r="B20" s="35"/>
      <c r="C20" s="34" t="s">
        <v>96</v>
      </c>
      <c r="D20" s="36"/>
      <c r="E20" s="37"/>
      <c r="F20" s="32"/>
    </row>
    <row r="21" spans="2:6" ht="22.5" customHeight="1" x14ac:dyDescent="0.4">
      <c r="B21" s="35"/>
      <c r="C21" s="34" t="s">
        <v>96</v>
      </c>
      <c r="D21" s="36"/>
      <c r="E21" s="37"/>
      <c r="F21" s="32"/>
    </row>
    <row r="22" spans="2:6" ht="22.5" customHeight="1" x14ac:dyDescent="0.4">
      <c r="B22" s="35"/>
      <c r="C22" s="34" t="s">
        <v>96</v>
      </c>
      <c r="D22" s="36"/>
      <c r="E22" s="37"/>
      <c r="F22" s="32"/>
    </row>
    <row r="23" spans="2:6" ht="22.5" customHeight="1" x14ac:dyDescent="0.4">
      <c r="B23" s="35"/>
      <c r="C23" s="34" t="s">
        <v>96</v>
      </c>
      <c r="D23" s="36"/>
      <c r="E23" s="37"/>
      <c r="F23" s="32"/>
    </row>
    <row r="24" spans="2:6" ht="22.5" customHeight="1" x14ac:dyDescent="0.4">
      <c r="B24" s="35"/>
      <c r="C24" s="34" t="s">
        <v>96</v>
      </c>
      <c r="D24" s="36"/>
      <c r="E24" s="37"/>
      <c r="F24" s="32"/>
    </row>
    <row r="25" spans="2:6" ht="22.5" customHeight="1" x14ac:dyDescent="0.4">
      <c r="B25" s="35"/>
      <c r="C25" s="34" t="s">
        <v>96</v>
      </c>
      <c r="D25" s="36"/>
      <c r="E25" s="37"/>
      <c r="F25" s="32"/>
    </row>
    <row r="26" spans="2:6" ht="22.5" customHeight="1" x14ac:dyDescent="0.4">
      <c r="B26" s="35"/>
      <c r="C26" s="34" t="s">
        <v>96</v>
      </c>
      <c r="D26" s="36"/>
      <c r="E26" s="37"/>
      <c r="F26" s="32"/>
    </row>
    <row r="27" spans="2:6" ht="22.5" customHeight="1" x14ac:dyDescent="0.4">
      <c r="B27" s="35"/>
      <c r="C27" s="34" t="s">
        <v>96</v>
      </c>
      <c r="D27" s="36"/>
      <c r="E27" s="37"/>
      <c r="F27" s="32"/>
    </row>
    <row r="28" spans="2:6" ht="22.5" customHeight="1" x14ac:dyDescent="0.4">
      <c r="B28" s="35"/>
      <c r="C28" s="34" t="s">
        <v>96</v>
      </c>
      <c r="D28" s="36"/>
      <c r="E28" s="37"/>
      <c r="F28" s="32"/>
    </row>
    <row r="29" spans="2:6" ht="22.5" customHeight="1" x14ac:dyDescent="0.4">
      <c r="B29" s="35"/>
      <c r="C29" s="34" t="s">
        <v>96</v>
      </c>
      <c r="D29" s="36"/>
      <c r="E29" s="37"/>
      <c r="F29" s="32"/>
    </row>
    <row r="30" spans="2:6" ht="22.5" customHeight="1" x14ac:dyDescent="0.4">
      <c r="B30" s="35"/>
      <c r="C30" s="34" t="s">
        <v>96</v>
      </c>
      <c r="D30" s="36"/>
      <c r="E30" s="37"/>
      <c r="F30" s="32"/>
    </row>
    <row r="31" spans="2:6" ht="22.5" customHeight="1" x14ac:dyDescent="0.4">
      <c r="B31" s="35"/>
      <c r="C31" s="34" t="s">
        <v>96</v>
      </c>
      <c r="D31" s="36"/>
      <c r="E31" s="37"/>
      <c r="F31" s="32"/>
    </row>
    <row r="32" spans="2:6" ht="22.5" customHeight="1" x14ac:dyDescent="0.4">
      <c r="B32" s="35"/>
      <c r="C32" s="34" t="s">
        <v>96</v>
      </c>
      <c r="D32" s="36"/>
      <c r="E32" s="37"/>
      <c r="F32" s="32"/>
    </row>
    <row r="33" spans="2:6" ht="22.5" customHeight="1" x14ac:dyDescent="0.4">
      <c r="B33" s="35"/>
      <c r="C33" s="34" t="s">
        <v>96</v>
      </c>
      <c r="D33" s="36"/>
      <c r="E33" s="37"/>
      <c r="F33" s="32"/>
    </row>
    <row r="34" spans="2:6" ht="22.5" customHeight="1" x14ac:dyDescent="0.4">
      <c r="B34" s="35"/>
      <c r="C34" s="34" t="s">
        <v>96</v>
      </c>
      <c r="D34" s="36"/>
      <c r="E34" s="37"/>
      <c r="F34" s="32"/>
    </row>
    <row r="35" spans="2:6" ht="22.5" customHeight="1" x14ac:dyDescent="0.4">
      <c r="B35" s="35"/>
      <c r="C35" s="34" t="s">
        <v>96</v>
      </c>
      <c r="D35" s="36"/>
      <c r="E35" s="37"/>
      <c r="F35" s="32"/>
    </row>
    <row r="36" spans="2:6" ht="22.5" customHeight="1" x14ac:dyDescent="0.4">
      <c r="B36" s="35"/>
      <c r="C36" s="34" t="s">
        <v>96</v>
      </c>
      <c r="D36" s="36"/>
      <c r="E36" s="37"/>
      <c r="F36" s="32"/>
    </row>
    <row r="37" spans="2:6" ht="22.5" customHeight="1" x14ac:dyDescent="0.4">
      <c r="B37" s="35"/>
      <c r="C37" s="34" t="s">
        <v>96</v>
      </c>
      <c r="D37" s="36"/>
      <c r="E37" s="37"/>
      <c r="F37" s="32"/>
    </row>
    <row r="38" spans="2:6" ht="22.5" customHeight="1" x14ac:dyDescent="0.4">
      <c r="B38" s="35"/>
      <c r="C38" s="34" t="s">
        <v>96</v>
      </c>
      <c r="D38" s="36"/>
      <c r="E38" s="37"/>
      <c r="F38" s="32"/>
    </row>
    <row r="39" spans="2:6" ht="22.5" customHeight="1" x14ac:dyDescent="0.4">
      <c r="B39" s="35"/>
      <c r="C39" s="34" t="s">
        <v>96</v>
      </c>
      <c r="D39" s="36"/>
      <c r="E39" s="37"/>
      <c r="F39" s="32"/>
    </row>
    <row r="40" spans="2:6" ht="22.5" customHeight="1" x14ac:dyDescent="0.4">
      <c r="B40" s="35"/>
      <c r="C40" s="34" t="s">
        <v>96</v>
      </c>
      <c r="D40" s="36"/>
      <c r="E40" s="37"/>
      <c r="F40" s="32"/>
    </row>
    <row r="41" spans="2:6" ht="22.5" customHeight="1" x14ac:dyDescent="0.4">
      <c r="B41" s="35"/>
      <c r="C41" s="34" t="s">
        <v>96</v>
      </c>
      <c r="D41" s="36"/>
      <c r="E41" s="37"/>
      <c r="F41" s="32"/>
    </row>
  </sheetData>
  <mergeCells count="2">
    <mergeCell ref="B3:C3"/>
    <mergeCell ref="B1:F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5297-A489-45CD-9D62-C10F6FE0323E}">
  <sheetPr codeName="Sheet5">
    <pageSetUpPr fitToPage="1"/>
  </sheetPr>
  <dimension ref="A1:AB30"/>
  <sheetViews>
    <sheetView showGridLines="0" zoomScale="130" zoomScaleNormal="130" zoomScaleSheetLayoutView="100" workbookViewId="0">
      <selection activeCell="AF7" sqref="AF7"/>
    </sheetView>
  </sheetViews>
  <sheetFormatPr defaultColWidth="9" defaultRowHeight="23.25" customHeight="1" x14ac:dyDescent="0.4"/>
  <cols>
    <col min="1" max="1" width="7.3984375" style="1" customWidth="1"/>
    <col min="2" max="2" width="6.5" style="1" customWidth="1"/>
    <col min="3" max="3" width="5.69921875" style="1" customWidth="1"/>
    <col min="4" max="4" width="4.59765625" style="1" customWidth="1"/>
    <col min="5" max="5" width="2.09765625" style="1" customWidth="1"/>
    <col min="6" max="6" width="3" style="1" customWidth="1"/>
    <col min="7" max="7" width="4.09765625" style="1" customWidth="1"/>
    <col min="8" max="8" width="3.59765625" style="1" customWidth="1"/>
    <col min="9" max="9" width="2.09765625" style="1" customWidth="1"/>
    <col min="10" max="11" width="3.59765625" style="1" customWidth="1"/>
    <col min="12" max="12" width="2.5" style="1" customWidth="1"/>
    <col min="13" max="17" width="2.3984375" style="1" customWidth="1"/>
    <col min="18" max="18" width="3.3984375" style="1" customWidth="1"/>
    <col min="19" max="19" width="3.19921875" style="1" customWidth="1"/>
    <col min="20" max="20" width="1.8984375" style="1" customWidth="1"/>
    <col min="21" max="21" width="5.09765625" style="1" customWidth="1"/>
    <col min="22" max="22" width="3.3984375" style="1" customWidth="1"/>
    <col min="23" max="23" width="5.09765625" style="1" customWidth="1"/>
    <col min="24" max="24" width="7.09765625" style="1" customWidth="1"/>
    <col min="25" max="28" width="4.19921875" style="1" customWidth="1"/>
    <col min="29" max="16384" width="9" style="1"/>
  </cols>
  <sheetData>
    <row r="1" spans="1:28" ht="49.5" customHeight="1" x14ac:dyDescent="0.4">
      <c r="A1" s="63" t="s">
        <v>137</v>
      </c>
      <c r="B1" s="63"/>
      <c r="C1" s="63"/>
      <c r="D1" s="63"/>
      <c r="E1" s="63"/>
      <c r="F1" s="63"/>
      <c r="G1" s="63"/>
      <c r="H1" s="63"/>
      <c r="I1" s="63"/>
      <c r="J1" s="63"/>
      <c r="K1" s="63"/>
      <c r="L1" s="63"/>
      <c r="M1" s="63"/>
      <c r="N1" s="63"/>
      <c r="O1" s="63"/>
      <c r="P1" s="63"/>
      <c r="Q1" s="63"/>
      <c r="R1" s="63"/>
      <c r="S1" s="63"/>
      <c r="T1" s="63"/>
      <c r="U1" s="63"/>
      <c r="V1" s="63"/>
      <c r="W1" s="63"/>
      <c r="X1" s="63"/>
      <c r="Y1" s="63"/>
      <c r="Z1" s="63"/>
      <c r="AA1" s="63"/>
      <c r="AB1" s="64"/>
    </row>
    <row r="2" spans="1:28" ht="27.75" customHeight="1" thickBot="1" x14ac:dyDescent="0.45">
      <c r="A2" s="6"/>
      <c r="B2" s="6"/>
      <c r="C2" s="6"/>
      <c r="D2" s="6"/>
      <c r="E2" s="6"/>
      <c r="F2" s="6"/>
      <c r="G2" s="6"/>
      <c r="H2" s="6"/>
      <c r="I2" s="6"/>
      <c r="J2" s="6"/>
      <c r="K2" s="6"/>
      <c r="L2" s="6"/>
      <c r="M2" s="6"/>
      <c r="N2" s="6"/>
      <c r="O2" s="6"/>
      <c r="P2" s="6"/>
      <c r="Q2" s="6"/>
      <c r="R2" s="6"/>
      <c r="S2" s="6"/>
      <c r="T2" s="6"/>
      <c r="U2" s="6"/>
      <c r="V2" s="6"/>
      <c r="W2" s="6"/>
      <c r="X2" s="6"/>
      <c r="Y2" s="6"/>
      <c r="Z2" s="6"/>
      <c r="AA2" s="6"/>
      <c r="AB2" s="7"/>
    </row>
    <row r="3" spans="1:28" ht="27.75" customHeight="1" x14ac:dyDescent="0.4">
      <c r="A3" s="280" t="s">
        <v>141</v>
      </c>
      <c r="B3" s="281"/>
      <c r="C3" s="282"/>
      <c r="D3" s="349"/>
      <c r="E3" s="349"/>
      <c r="F3" s="349"/>
      <c r="G3" s="349"/>
      <c r="H3" s="349"/>
      <c r="I3" s="349"/>
      <c r="J3" s="349"/>
      <c r="K3" s="349"/>
      <c r="L3" s="349"/>
      <c r="M3" s="349"/>
      <c r="N3" s="349"/>
      <c r="O3" s="349"/>
      <c r="P3" s="349"/>
      <c r="Q3" s="349"/>
      <c r="R3" s="349"/>
      <c r="S3" s="349"/>
      <c r="T3" s="349"/>
      <c r="U3" s="349"/>
      <c r="V3" s="349"/>
      <c r="W3" s="349"/>
      <c r="X3" s="349"/>
      <c r="Y3" s="349"/>
      <c r="Z3" s="349"/>
      <c r="AA3" s="349"/>
      <c r="AB3" s="350"/>
    </row>
    <row r="4" spans="1:28" ht="27.75" customHeight="1" x14ac:dyDescent="0.4">
      <c r="A4" s="324" t="s">
        <v>142</v>
      </c>
      <c r="B4" s="325"/>
      <c r="C4" s="326"/>
      <c r="D4" s="55"/>
      <c r="E4" s="55"/>
      <c r="F4" s="55"/>
      <c r="G4" s="55"/>
      <c r="H4" s="55"/>
      <c r="I4" s="55"/>
      <c r="J4" s="55"/>
      <c r="K4" s="55"/>
      <c r="L4" s="55"/>
      <c r="M4" s="55"/>
      <c r="N4" s="55"/>
      <c r="O4" s="55"/>
      <c r="P4" s="55"/>
      <c r="Q4" s="55"/>
      <c r="R4" s="55"/>
      <c r="S4" s="55"/>
      <c r="T4" s="55"/>
      <c r="U4" s="55"/>
      <c r="V4" s="55"/>
      <c r="W4" s="55"/>
      <c r="X4" s="55"/>
      <c r="Y4" s="55"/>
      <c r="Z4" s="55"/>
      <c r="AA4" s="55"/>
      <c r="AB4" s="10"/>
    </row>
    <row r="5" spans="1:28" ht="27.75" customHeight="1" thickBot="1" x14ac:dyDescent="0.45">
      <c r="A5" s="346" t="s">
        <v>143</v>
      </c>
      <c r="B5" s="347"/>
      <c r="C5" s="348"/>
      <c r="D5" s="260"/>
      <c r="E5" s="261"/>
      <c r="F5" s="261"/>
      <c r="G5" s="261"/>
      <c r="H5" s="261"/>
      <c r="I5" s="261"/>
      <c r="J5" s="261"/>
      <c r="K5" s="261"/>
      <c r="L5" s="261"/>
      <c r="M5" s="261"/>
      <c r="N5" s="261"/>
      <c r="O5" s="261"/>
      <c r="P5" s="261"/>
      <c r="Q5" s="261"/>
      <c r="R5" s="261"/>
      <c r="S5" s="261"/>
      <c r="T5" s="261"/>
      <c r="U5" s="261"/>
      <c r="V5" s="261"/>
      <c r="W5" s="261"/>
      <c r="X5" s="261"/>
      <c r="Y5" s="261"/>
      <c r="Z5" s="261"/>
      <c r="AA5" s="261"/>
      <c r="AB5" s="345"/>
    </row>
    <row r="6" spans="1:28" ht="33" customHeight="1" x14ac:dyDescent="0.4">
      <c r="A6" s="333" t="s">
        <v>138</v>
      </c>
      <c r="B6" s="334"/>
      <c r="C6" s="335"/>
      <c r="D6" s="339" t="s">
        <v>139</v>
      </c>
      <c r="E6" s="340"/>
      <c r="F6" s="340"/>
      <c r="G6" s="340"/>
      <c r="H6" s="341"/>
      <c r="I6" s="109"/>
      <c r="J6" s="99"/>
      <c r="K6" s="99"/>
      <c r="L6" s="99"/>
      <c r="M6" s="99"/>
      <c r="N6" s="99"/>
      <c r="O6" s="99"/>
      <c r="P6" s="99"/>
      <c r="Q6" s="99"/>
      <c r="R6" s="110"/>
      <c r="S6" s="339" t="s">
        <v>140</v>
      </c>
      <c r="T6" s="340"/>
      <c r="U6" s="340"/>
      <c r="V6" s="341"/>
      <c r="W6" s="99"/>
      <c r="X6" s="99"/>
      <c r="Y6" s="99"/>
      <c r="Z6" s="99"/>
      <c r="AA6" s="99"/>
      <c r="AB6" s="294"/>
    </row>
    <row r="7" spans="1:28" ht="33" customHeight="1" thickBot="1" x14ac:dyDescent="0.45">
      <c r="A7" s="346" t="s">
        <v>146</v>
      </c>
      <c r="B7" s="347"/>
      <c r="C7" s="348"/>
      <c r="D7" s="342" t="s">
        <v>147</v>
      </c>
      <c r="E7" s="343"/>
      <c r="F7" s="343"/>
      <c r="G7" s="343"/>
      <c r="H7" s="344"/>
      <c r="I7" s="260"/>
      <c r="J7" s="261"/>
      <c r="K7" s="261"/>
      <c r="L7" s="261"/>
      <c r="M7" s="261"/>
      <c r="N7" s="261"/>
      <c r="O7" s="261"/>
      <c r="P7" s="261"/>
      <c r="Q7" s="261"/>
      <c r="R7" s="262"/>
      <c r="S7" s="342" t="s">
        <v>148</v>
      </c>
      <c r="T7" s="343"/>
      <c r="U7" s="343"/>
      <c r="V7" s="344"/>
      <c r="W7" s="261"/>
      <c r="X7" s="261"/>
      <c r="Y7" s="261"/>
      <c r="Z7" s="261"/>
      <c r="AA7" s="261"/>
      <c r="AB7" s="345"/>
    </row>
    <row r="8" spans="1:28" ht="27.75" customHeight="1" x14ac:dyDescent="0.4">
      <c r="A8" s="280" t="s">
        <v>144</v>
      </c>
      <c r="B8" s="281"/>
      <c r="C8" s="282"/>
      <c r="D8" s="322" t="s">
        <v>145</v>
      </c>
      <c r="E8" s="322"/>
      <c r="F8" s="322"/>
      <c r="G8" s="322"/>
      <c r="H8" s="322"/>
      <c r="I8" s="322"/>
      <c r="J8" s="322"/>
      <c r="K8" s="322"/>
      <c r="L8" s="322"/>
      <c r="M8" s="322" t="s">
        <v>154</v>
      </c>
      <c r="N8" s="322"/>
      <c r="O8" s="322"/>
      <c r="P8" s="322"/>
      <c r="Q8" s="322"/>
      <c r="R8" s="322"/>
      <c r="S8" s="337" t="s">
        <v>7</v>
      </c>
      <c r="T8" s="337"/>
      <c r="U8" s="337"/>
      <c r="V8" s="337"/>
      <c r="W8" s="337"/>
      <c r="X8" s="337"/>
      <c r="Y8" s="337"/>
      <c r="Z8" s="337"/>
      <c r="AA8" s="337"/>
      <c r="AB8" s="338"/>
    </row>
    <row r="9" spans="1:28" ht="27.75" customHeight="1" x14ac:dyDescent="0.4">
      <c r="A9" s="283"/>
      <c r="B9" s="284"/>
      <c r="C9" s="285"/>
      <c r="D9" s="317" t="s">
        <v>149</v>
      </c>
      <c r="E9" s="317"/>
      <c r="F9" s="317"/>
      <c r="G9" s="317"/>
      <c r="H9" s="317"/>
      <c r="I9" s="317"/>
      <c r="J9" s="317"/>
      <c r="K9" s="317"/>
      <c r="L9" s="317"/>
      <c r="M9" s="317"/>
      <c r="N9" s="317"/>
      <c r="O9" s="317"/>
      <c r="P9" s="317"/>
      <c r="Q9" s="317"/>
      <c r="R9" s="317"/>
      <c r="S9" s="218"/>
      <c r="T9" s="207"/>
      <c r="U9" s="207"/>
      <c r="V9" s="207"/>
      <c r="W9" s="207"/>
      <c r="X9" s="207"/>
      <c r="Y9" s="207"/>
      <c r="Z9" s="207"/>
      <c r="AA9" s="207"/>
      <c r="AB9" s="276"/>
    </row>
    <row r="10" spans="1:28" ht="27.75" customHeight="1" x14ac:dyDescent="0.4">
      <c r="A10" s="283"/>
      <c r="B10" s="284"/>
      <c r="C10" s="285"/>
      <c r="D10" s="317" t="s">
        <v>150</v>
      </c>
      <c r="E10" s="317"/>
      <c r="F10" s="317"/>
      <c r="G10" s="317"/>
      <c r="H10" s="317"/>
      <c r="I10" s="317"/>
      <c r="J10" s="317"/>
      <c r="K10" s="317"/>
      <c r="L10" s="317"/>
      <c r="M10" s="317"/>
      <c r="N10" s="317"/>
      <c r="O10" s="317"/>
      <c r="P10" s="317"/>
      <c r="Q10" s="317"/>
      <c r="R10" s="317"/>
      <c r="S10" s="55"/>
      <c r="T10" s="55"/>
      <c r="U10" s="55"/>
      <c r="V10" s="55"/>
      <c r="W10" s="55"/>
      <c r="X10" s="55"/>
      <c r="Y10" s="55"/>
      <c r="Z10" s="55"/>
      <c r="AA10" s="55"/>
      <c r="AB10" s="10"/>
    </row>
    <row r="11" spans="1:28" ht="27.75" customHeight="1" x14ac:dyDescent="0.4">
      <c r="A11" s="283"/>
      <c r="B11" s="284"/>
      <c r="C11" s="285"/>
      <c r="D11" s="317" t="s">
        <v>151</v>
      </c>
      <c r="E11" s="317"/>
      <c r="F11" s="317"/>
      <c r="G11" s="317"/>
      <c r="H11" s="317"/>
      <c r="I11" s="317"/>
      <c r="J11" s="317"/>
      <c r="K11" s="317"/>
      <c r="L11" s="317"/>
      <c r="M11" s="317"/>
      <c r="N11" s="317"/>
      <c r="O11" s="317"/>
      <c r="P11" s="317"/>
      <c r="Q11" s="317"/>
      <c r="R11" s="317"/>
      <c r="S11" s="218"/>
      <c r="T11" s="207"/>
      <c r="U11" s="207"/>
      <c r="V11" s="207"/>
      <c r="W11" s="207"/>
      <c r="X11" s="207"/>
      <c r="Y11" s="207"/>
      <c r="Z11" s="207"/>
      <c r="AA11" s="207"/>
      <c r="AB11" s="276"/>
    </row>
    <row r="12" spans="1:28" ht="27.75" customHeight="1" x14ac:dyDescent="0.4">
      <c r="A12" s="283"/>
      <c r="B12" s="284"/>
      <c r="C12" s="285"/>
      <c r="D12" s="317" t="s">
        <v>153</v>
      </c>
      <c r="E12" s="317"/>
      <c r="F12" s="317"/>
      <c r="G12" s="317"/>
      <c r="H12" s="317"/>
      <c r="I12" s="317"/>
      <c r="J12" s="317"/>
      <c r="K12" s="317"/>
      <c r="L12" s="317"/>
      <c r="M12" s="317"/>
      <c r="N12" s="317"/>
      <c r="O12" s="317"/>
      <c r="P12" s="317"/>
      <c r="Q12" s="317"/>
      <c r="R12" s="317"/>
      <c r="S12" s="218"/>
      <c r="T12" s="207"/>
      <c r="U12" s="207"/>
      <c r="V12" s="207"/>
      <c r="W12" s="207"/>
      <c r="X12" s="207"/>
      <c r="Y12" s="207"/>
      <c r="Z12" s="207"/>
      <c r="AA12" s="207"/>
      <c r="AB12" s="276"/>
    </row>
    <row r="13" spans="1:28" ht="27.75" customHeight="1" x14ac:dyDescent="0.4">
      <c r="A13" s="283"/>
      <c r="B13" s="284"/>
      <c r="C13" s="285"/>
      <c r="D13" s="317" t="s">
        <v>152</v>
      </c>
      <c r="E13" s="317"/>
      <c r="F13" s="317"/>
      <c r="G13" s="317"/>
      <c r="H13" s="317"/>
      <c r="I13" s="317"/>
      <c r="J13" s="317"/>
      <c r="K13" s="317"/>
      <c r="L13" s="317"/>
      <c r="M13" s="317"/>
      <c r="N13" s="317"/>
      <c r="O13" s="317"/>
      <c r="P13" s="317"/>
      <c r="Q13" s="317"/>
      <c r="R13" s="317"/>
      <c r="S13" s="55"/>
      <c r="T13" s="55"/>
      <c r="U13" s="55"/>
      <c r="V13" s="55"/>
      <c r="W13" s="55"/>
      <c r="X13" s="55"/>
      <c r="Y13" s="55"/>
      <c r="Z13" s="55"/>
      <c r="AA13" s="55"/>
      <c r="AB13" s="10"/>
    </row>
    <row r="14" spans="1:28" ht="27.75" customHeight="1" x14ac:dyDescent="0.4">
      <c r="A14" s="333"/>
      <c r="B14" s="334"/>
      <c r="C14" s="335"/>
      <c r="D14" s="218" t="s">
        <v>156</v>
      </c>
      <c r="E14" s="207"/>
      <c r="F14" s="207"/>
      <c r="G14" s="207"/>
      <c r="H14" s="207"/>
      <c r="I14" s="207"/>
      <c r="J14" s="207"/>
      <c r="K14" s="207"/>
      <c r="L14" s="219"/>
      <c r="M14" s="218"/>
      <c r="N14" s="207"/>
      <c r="O14" s="207"/>
      <c r="P14" s="207"/>
      <c r="Q14" s="207"/>
      <c r="R14" s="219"/>
      <c r="S14" s="327" t="s">
        <v>157</v>
      </c>
      <c r="T14" s="328"/>
      <c r="U14" s="328"/>
      <c r="V14" s="328"/>
      <c r="W14" s="328"/>
      <c r="X14" s="328"/>
      <c r="Y14" s="328"/>
      <c r="Z14" s="328"/>
      <c r="AA14" s="328"/>
      <c r="AB14" s="329"/>
    </row>
    <row r="15" spans="1:28" ht="27.75" customHeight="1" thickBot="1" x14ac:dyDescent="0.45">
      <c r="A15" s="324" t="s">
        <v>155</v>
      </c>
      <c r="B15" s="325"/>
      <c r="C15" s="326"/>
      <c r="D15" s="54"/>
      <c r="E15" s="55"/>
      <c r="F15" s="55"/>
      <c r="G15" s="55"/>
      <c r="H15" s="55"/>
      <c r="I15" s="55"/>
      <c r="J15" s="55"/>
      <c r="K15" s="55"/>
      <c r="L15" s="55"/>
      <c r="M15" s="336"/>
      <c r="N15" s="336"/>
      <c r="O15" s="336"/>
      <c r="P15" s="336"/>
      <c r="Q15" s="336"/>
      <c r="R15" s="336"/>
      <c r="S15" s="330"/>
      <c r="T15" s="331"/>
      <c r="U15" s="331"/>
      <c r="V15" s="331"/>
      <c r="W15" s="331"/>
      <c r="X15" s="331"/>
      <c r="Y15" s="331"/>
      <c r="Z15" s="331"/>
      <c r="AA15" s="331"/>
      <c r="AB15" s="332"/>
    </row>
    <row r="16" spans="1:28" ht="27.75" customHeight="1" x14ac:dyDescent="0.4">
      <c r="A16" s="280" t="s">
        <v>158</v>
      </c>
      <c r="B16" s="281"/>
      <c r="C16" s="282"/>
      <c r="D16" s="322" t="s">
        <v>159</v>
      </c>
      <c r="E16" s="322"/>
      <c r="F16" s="322"/>
      <c r="G16" s="322"/>
      <c r="H16" s="322"/>
      <c r="I16" s="322"/>
      <c r="J16" s="322"/>
      <c r="K16" s="322" t="s">
        <v>160</v>
      </c>
      <c r="L16" s="322"/>
      <c r="M16" s="322"/>
      <c r="N16" s="322"/>
      <c r="O16" s="322" t="s">
        <v>161</v>
      </c>
      <c r="P16" s="322"/>
      <c r="Q16" s="322"/>
      <c r="R16" s="322"/>
      <c r="S16" s="322" t="s">
        <v>7</v>
      </c>
      <c r="T16" s="322"/>
      <c r="U16" s="322"/>
      <c r="V16" s="322"/>
      <c r="W16" s="322"/>
      <c r="X16" s="322"/>
      <c r="Y16" s="322"/>
      <c r="Z16" s="322"/>
      <c r="AA16" s="322"/>
      <c r="AB16" s="323"/>
    </row>
    <row r="17" spans="1:28" ht="27.75" customHeight="1" x14ac:dyDescent="0.4">
      <c r="A17" s="283"/>
      <c r="B17" s="284"/>
      <c r="C17" s="285"/>
      <c r="D17" s="317" t="s">
        <v>165</v>
      </c>
      <c r="E17" s="317"/>
      <c r="F17" s="317"/>
      <c r="G17" s="317"/>
      <c r="H17" s="317"/>
      <c r="I17" s="317"/>
      <c r="J17" s="317"/>
      <c r="K17" s="317"/>
      <c r="L17" s="317"/>
      <c r="M17" s="317"/>
      <c r="N17" s="317"/>
      <c r="O17" s="317"/>
      <c r="P17" s="317"/>
      <c r="Q17" s="317"/>
      <c r="R17" s="317"/>
      <c r="S17" s="318" t="s">
        <v>167</v>
      </c>
      <c r="T17" s="318"/>
      <c r="U17" s="318"/>
      <c r="V17" s="318"/>
      <c r="W17" s="318"/>
      <c r="X17" s="318"/>
      <c r="Y17" s="318"/>
      <c r="Z17" s="318"/>
      <c r="AA17" s="318"/>
      <c r="AB17" s="319"/>
    </row>
    <row r="18" spans="1:28" ht="27.75" customHeight="1" x14ac:dyDescent="0.4">
      <c r="A18" s="283"/>
      <c r="B18" s="284"/>
      <c r="C18" s="285"/>
      <c r="D18" s="317" t="s">
        <v>166</v>
      </c>
      <c r="E18" s="317"/>
      <c r="F18" s="317"/>
      <c r="G18" s="317"/>
      <c r="H18" s="317"/>
      <c r="I18" s="317"/>
      <c r="J18" s="317"/>
      <c r="K18" s="317"/>
      <c r="L18" s="317"/>
      <c r="M18" s="317"/>
      <c r="N18" s="317"/>
      <c r="O18" s="317"/>
      <c r="P18" s="317"/>
      <c r="Q18" s="317"/>
      <c r="R18" s="317"/>
      <c r="S18" s="318" t="s">
        <v>167</v>
      </c>
      <c r="T18" s="318"/>
      <c r="U18" s="318"/>
      <c r="V18" s="318"/>
      <c r="W18" s="318"/>
      <c r="X18" s="318"/>
      <c r="Y18" s="318"/>
      <c r="Z18" s="318"/>
      <c r="AA18" s="318"/>
      <c r="AB18" s="319"/>
    </row>
    <row r="19" spans="1:28" ht="27.75" customHeight="1" x14ac:dyDescent="0.4">
      <c r="A19" s="283"/>
      <c r="B19" s="284"/>
      <c r="C19" s="285"/>
      <c r="D19" s="74" t="s">
        <v>163</v>
      </c>
      <c r="E19" s="75"/>
      <c r="F19" s="75"/>
      <c r="G19" s="75"/>
      <c r="H19" s="75"/>
      <c r="I19" s="75"/>
      <c r="J19" s="75"/>
      <c r="K19" s="218" t="s">
        <v>162</v>
      </c>
      <c r="L19" s="207"/>
      <c r="M19" s="207"/>
      <c r="N19" s="219"/>
      <c r="O19" s="218" t="s">
        <v>164</v>
      </c>
      <c r="P19" s="207"/>
      <c r="Q19" s="207"/>
      <c r="R19" s="219"/>
      <c r="S19" s="292" t="s">
        <v>173</v>
      </c>
      <c r="T19" s="75"/>
      <c r="U19" s="75"/>
      <c r="V19" s="75"/>
      <c r="W19" s="75"/>
      <c r="X19" s="75"/>
      <c r="Y19" s="75"/>
      <c r="Z19" s="75"/>
      <c r="AA19" s="75"/>
      <c r="AB19" s="293"/>
    </row>
    <row r="20" spans="1:28" ht="27.75" customHeight="1" x14ac:dyDescent="0.4">
      <c r="A20" s="283"/>
      <c r="B20" s="284"/>
      <c r="C20" s="285"/>
      <c r="D20" s="109">
        <v>0</v>
      </c>
      <c r="E20" s="99"/>
      <c r="F20" s="99"/>
      <c r="G20" s="99"/>
      <c r="H20" s="99"/>
      <c r="I20" s="99"/>
      <c r="J20" s="99"/>
      <c r="K20" s="317">
        <v>0</v>
      </c>
      <c r="L20" s="317"/>
      <c r="M20" s="317"/>
      <c r="N20" s="317"/>
      <c r="O20" s="317">
        <v>0</v>
      </c>
      <c r="P20" s="317"/>
      <c r="Q20" s="317"/>
      <c r="R20" s="317"/>
      <c r="S20" s="109"/>
      <c r="T20" s="99"/>
      <c r="U20" s="99"/>
      <c r="V20" s="99"/>
      <c r="W20" s="99"/>
      <c r="X20" s="99"/>
      <c r="Y20" s="99"/>
      <c r="Z20" s="99"/>
      <c r="AA20" s="99"/>
      <c r="AB20" s="294"/>
    </row>
    <row r="21" spans="1:28" ht="27.75" customHeight="1" x14ac:dyDescent="0.4">
      <c r="A21" s="283"/>
      <c r="B21" s="284"/>
      <c r="C21" s="285"/>
      <c r="D21" s="218" t="s">
        <v>180</v>
      </c>
      <c r="E21" s="207"/>
      <c r="F21" s="207"/>
      <c r="G21" s="207"/>
      <c r="H21" s="207"/>
      <c r="I21" s="207"/>
      <c r="J21" s="219"/>
      <c r="K21" s="218"/>
      <c r="L21" s="207"/>
      <c r="M21" s="207"/>
      <c r="N21" s="219"/>
      <c r="O21" s="218"/>
      <c r="P21" s="207"/>
      <c r="Q21" s="207"/>
      <c r="R21" s="219"/>
      <c r="S21" s="289" t="s">
        <v>181</v>
      </c>
      <c r="T21" s="290"/>
      <c r="U21" s="290"/>
      <c r="V21" s="290"/>
      <c r="W21" s="290"/>
      <c r="X21" s="290"/>
      <c r="Y21" s="290"/>
      <c r="Z21" s="290"/>
      <c r="AA21" s="290"/>
      <c r="AB21" s="291"/>
    </row>
    <row r="22" spans="1:28" ht="27.75" customHeight="1" thickBot="1" x14ac:dyDescent="0.45">
      <c r="A22" s="286"/>
      <c r="B22" s="287"/>
      <c r="C22" s="288"/>
      <c r="D22" s="316" t="s">
        <v>169</v>
      </c>
      <c r="E22" s="316"/>
      <c r="F22" s="316"/>
      <c r="G22" s="316"/>
      <c r="H22" s="316"/>
      <c r="I22" s="316"/>
      <c r="J22" s="316"/>
      <c r="K22" s="315" t="s">
        <v>168</v>
      </c>
      <c r="L22" s="315"/>
      <c r="M22" s="315"/>
      <c r="N22" s="315"/>
      <c r="O22" s="260"/>
      <c r="P22" s="261"/>
      <c r="Q22" s="261"/>
      <c r="R22" s="261"/>
      <c r="S22" s="315" t="s">
        <v>170</v>
      </c>
      <c r="T22" s="315"/>
      <c r="U22" s="315"/>
      <c r="V22" s="315"/>
      <c r="W22" s="315"/>
      <c r="X22" s="315"/>
      <c r="Y22" s="320" t="s">
        <v>171</v>
      </c>
      <c r="Z22" s="320"/>
      <c r="AA22" s="320"/>
      <c r="AB22" s="321"/>
    </row>
    <row r="23" spans="1:28" ht="27.75" customHeight="1" thickBot="1" x14ac:dyDescent="0.45">
      <c r="A23" s="301" t="s">
        <v>172</v>
      </c>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3"/>
    </row>
    <row r="24" spans="1:28" ht="187.05" customHeight="1" thickBot="1" x14ac:dyDescent="0.45">
      <c r="A24" s="304" t="s">
        <v>182</v>
      </c>
      <c r="B24" s="305"/>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c r="AA24" s="305"/>
      <c r="AB24" s="306"/>
    </row>
    <row r="25" spans="1:28" ht="23.25" customHeight="1" x14ac:dyDescent="0.4">
      <c r="A25" s="307" t="s">
        <v>174</v>
      </c>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9"/>
    </row>
    <row r="26" spans="1:28" ht="23.25" customHeight="1" x14ac:dyDescent="0.4">
      <c r="A26" s="310" t="s">
        <v>175</v>
      </c>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11"/>
      <c r="AB26" s="312"/>
    </row>
    <row r="27" spans="1:28" ht="23.25" customHeight="1" x14ac:dyDescent="0.4">
      <c r="A27" s="298" t="s">
        <v>177</v>
      </c>
      <c r="B27" s="313"/>
      <c r="C27" s="313"/>
      <c r="D27" s="313"/>
      <c r="E27" s="313"/>
      <c r="F27" s="313"/>
      <c r="G27" s="313"/>
      <c r="H27" s="313"/>
      <c r="I27" s="313"/>
      <c r="J27" s="313"/>
      <c r="K27" s="313"/>
      <c r="L27" s="313"/>
      <c r="M27" s="313"/>
      <c r="N27" s="313"/>
      <c r="O27" s="313"/>
      <c r="P27" s="313"/>
      <c r="Q27" s="313"/>
      <c r="R27" s="313"/>
      <c r="S27" s="313"/>
      <c r="T27" s="313"/>
      <c r="U27" s="313"/>
      <c r="V27" s="313"/>
      <c r="W27" s="313"/>
      <c r="X27" s="313"/>
      <c r="Y27" s="313"/>
      <c r="Z27" s="313"/>
      <c r="AA27" s="313"/>
      <c r="AB27" s="314"/>
    </row>
    <row r="28" spans="1:28" ht="23.25" customHeight="1" x14ac:dyDescent="0.4">
      <c r="A28" s="298" t="s">
        <v>176</v>
      </c>
      <c r="B28" s="299"/>
      <c r="C28" s="299"/>
      <c r="D28" s="299"/>
      <c r="E28" s="299"/>
      <c r="F28" s="299"/>
      <c r="G28" s="299"/>
      <c r="H28" s="299"/>
      <c r="I28" s="299"/>
      <c r="J28" s="299"/>
      <c r="K28" s="299"/>
      <c r="L28" s="299"/>
      <c r="M28" s="299"/>
      <c r="N28" s="299"/>
      <c r="O28" s="299"/>
      <c r="P28" s="299"/>
      <c r="Q28" s="299"/>
      <c r="R28" s="299"/>
      <c r="S28" s="299"/>
      <c r="T28" s="299"/>
      <c r="U28" s="299"/>
      <c r="V28" s="299"/>
      <c r="W28" s="299"/>
      <c r="X28" s="299"/>
      <c r="Y28" s="299"/>
      <c r="Z28" s="299"/>
      <c r="AA28" s="299"/>
      <c r="AB28" s="300"/>
    </row>
    <row r="29" spans="1:28" ht="23.25" customHeight="1" x14ac:dyDescent="0.4">
      <c r="A29" s="298" t="s">
        <v>178</v>
      </c>
      <c r="B29" s="299"/>
      <c r="C29" s="299"/>
      <c r="D29" s="299"/>
      <c r="E29" s="299"/>
      <c r="F29" s="299"/>
      <c r="G29" s="299"/>
      <c r="H29" s="299"/>
      <c r="I29" s="299"/>
      <c r="J29" s="299"/>
      <c r="K29" s="299"/>
      <c r="L29" s="299"/>
      <c r="M29" s="299"/>
      <c r="N29" s="299"/>
      <c r="O29" s="299"/>
      <c r="P29" s="299"/>
      <c r="Q29" s="299"/>
      <c r="R29" s="299"/>
      <c r="S29" s="299"/>
      <c r="T29" s="299"/>
      <c r="U29" s="299"/>
      <c r="V29" s="299"/>
      <c r="W29" s="299"/>
      <c r="X29" s="299"/>
      <c r="Y29" s="299"/>
      <c r="Z29" s="299"/>
      <c r="AA29" s="299"/>
      <c r="AB29" s="300"/>
    </row>
    <row r="30" spans="1:28" ht="23.25" customHeight="1" thickBot="1" x14ac:dyDescent="0.45">
      <c r="A30" s="295" t="s">
        <v>178</v>
      </c>
      <c r="B30" s="296"/>
      <c r="C30" s="296"/>
      <c r="D30" s="296"/>
      <c r="E30" s="296"/>
      <c r="F30" s="296"/>
      <c r="G30" s="296"/>
      <c r="H30" s="296"/>
      <c r="I30" s="296"/>
      <c r="J30" s="296"/>
      <c r="K30" s="296"/>
      <c r="L30" s="296"/>
      <c r="M30" s="296"/>
      <c r="N30" s="296"/>
      <c r="O30" s="296"/>
      <c r="P30" s="296"/>
      <c r="Q30" s="296"/>
      <c r="R30" s="296"/>
      <c r="S30" s="296"/>
      <c r="T30" s="296"/>
      <c r="U30" s="296"/>
      <c r="V30" s="296"/>
      <c r="W30" s="296"/>
      <c r="X30" s="296"/>
      <c r="Y30" s="296"/>
      <c r="Z30" s="296"/>
      <c r="AA30" s="296"/>
      <c r="AB30" s="297"/>
    </row>
  </sheetData>
  <mergeCells count="75">
    <mergeCell ref="A1:AB1"/>
    <mergeCell ref="A3:C3"/>
    <mergeCell ref="D3:AB3"/>
    <mergeCell ref="A4:C4"/>
    <mergeCell ref="A5:C5"/>
    <mergeCell ref="D5:AB5"/>
    <mergeCell ref="S7:V7"/>
    <mergeCell ref="W7:AB7"/>
    <mergeCell ref="D12:L12"/>
    <mergeCell ref="D13:L13"/>
    <mergeCell ref="A7:C7"/>
    <mergeCell ref="D7:H7"/>
    <mergeCell ref="I7:R7"/>
    <mergeCell ref="M8:R8"/>
    <mergeCell ref="S9:AB9"/>
    <mergeCell ref="S11:AB11"/>
    <mergeCell ref="S12:AB12"/>
    <mergeCell ref="A6:C6"/>
    <mergeCell ref="D6:H6"/>
    <mergeCell ref="I6:R6"/>
    <mergeCell ref="S6:V6"/>
    <mergeCell ref="W6:AB6"/>
    <mergeCell ref="A15:C15"/>
    <mergeCell ref="M14:R14"/>
    <mergeCell ref="S14:AB15"/>
    <mergeCell ref="D14:L14"/>
    <mergeCell ref="A8:C14"/>
    <mergeCell ref="M15:R15"/>
    <mergeCell ref="M9:R9"/>
    <mergeCell ref="M10:R10"/>
    <mergeCell ref="M11:R11"/>
    <mergeCell ref="M12:R12"/>
    <mergeCell ref="M13:R13"/>
    <mergeCell ref="D8:L8"/>
    <mergeCell ref="D9:L9"/>
    <mergeCell ref="D10:L10"/>
    <mergeCell ref="D11:L11"/>
    <mergeCell ref="S8:AB8"/>
    <mergeCell ref="S16:AB16"/>
    <mergeCell ref="S17:AB17"/>
    <mergeCell ref="D16:J16"/>
    <mergeCell ref="K16:N16"/>
    <mergeCell ref="O16:R16"/>
    <mergeCell ref="D17:J17"/>
    <mergeCell ref="K17:N17"/>
    <mergeCell ref="O17:R17"/>
    <mergeCell ref="W22:X22"/>
    <mergeCell ref="D22:J22"/>
    <mergeCell ref="K22:N22"/>
    <mergeCell ref="O18:R18"/>
    <mergeCell ref="K19:N19"/>
    <mergeCell ref="O19:R19"/>
    <mergeCell ref="D18:J18"/>
    <mergeCell ref="K18:N18"/>
    <mergeCell ref="K20:N20"/>
    <mergeCell ref="D19:J20"/>
    <mergeCell ref="O20:R20"/>
    <mergeCell ref="S18:AB18"/>
    <mergeCell ref="Y22:AB22"/>
    <mergeCell ref="A16:C22"/>
    <mergeCell ref="S21:AB21"/>
    <mergeCell ref="S19:AB20"/>
    <mergeCell ref="A30:AB30"/>
    <mergeCell ref="A29:AB29"/>
    <mergeCell ref="D21:J21"/>
    <mergeCell ref="K21:N21"/>
    <mergeCell ref="O21:R21"/>
    <mergeCell ref="A23:AB23"/>
    <mergeCell ref="A24:AB24"/>
    <mergeCell ref="A25:AB25"/>
    <mergeCell ref="A26:AB26"/>
    <mergeCell ref="A27:AB27"/>
    <mergeCell ref="A28:AB28"/>
    <mergeCell ref="O22:R22"/>
    <mergeCell ref="S22:V22"/>
  </mergeCells>
  <phoneticPr fontId="1" type="noConversion"/>
  <printOptions horizontalCentered="1"/>
  <pageMargins left="0.39370078740157483" right="0.39370078740157483" top="0.39370078740157483" bottom="0.39370078740157483" header="0.31496062992125984" footer="0.31496062992125984"/>
  <pageSetup paperSize="9" scale="6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31" r:id="rId4" name="Check Box 11">
              <controlPr defaultSize="0" autoFill="0" autoLine="0" autoPict="0" altText="장비 설치">
                <anchor moveWithCells="1">
                  <from>
                    <xdr:col>24</xdr:col>
                    <xdr:colOff>129540</xdr:colOff>
                    <xdr:row>0</xdr:row>
                    <xdr:rowOff>190500</xdr:rowOff>
                  </from>
                  <to>
                    <xdr:col>27</xdr:col>
                    <xdr:colOff>99060</xdr:colOff>
                    <xdr:row>0</xdr:row>
                    <xdr:rowOff>449580</xdr:rowOff>
                  </to>
                </anchor>
              </controlPr>
            </control>
          </mc:Choice>
        </mc:AlternateContent>
        <mc:AlternateContent xmlns:mc="http://schemas.openxmlformats.org/markup-compatibility/2006">
          <mc:Choice Requires="x14">
            <control shapeId="5132" r:id="rId5" name="Check Box 12">
              <controlPr defaultSize="0" autoFill="0" autoLine="0" autoPict="0">
                <anchor moveWithCells="1">
                  <from>
                    <xdr:col>24</xdr:col>
                    <xdr:colOff>129540</xdr:colOff>
                    <xdr:row>0</xdr:row>
                    <xdr:rowOff>556260</xdr:rowOff>
                  </from>
                  <to>
                    <xdr:col>27</xdr:col>
                    <xdr:colOff>91440</xdr:colOff>
                    <xdr:row>1</xdr:row>
                    <xdr:rowOff>175260</xdr:rowOff>
                  </to>
                </anchor>
              </controlPr>
            </control>
          </mc:Choice>
        </mc:AlternateContent>
        <mc:AlternateContent xmlns:mc="http://schemas.openxmlformats.org/markup-compatibility/2006">
          <mc:Choice Requires="x14">
            <control shapeId="5135" r:id="rId6" name="Check Box 15">
              <controlPr defaultSize="0" autoFill="0" autoLine="0" autoPict="0">
                <anchor moveWithCells="1">
                  <from>
                    <xdr:col>18</xdr:col>
                    <xdr:colOff>198120</xdr:colOff>
                    <xdr:row>12</xdr:row>
                    <xdr:rowOff>45720</xdr:rowOff>
                  </from>
                  <to>
                    <xdr:col>22</xdr:col>
                    <xdr:colOff>167640</xdr:colOff>
                    <xdr:row>12</xdr:row>
                    <xdr:rowOff>320040</xdr:rowOff>
                  </to>
                </anchor>
              </controlPr>
            </control>
          </mc:Choice>
        </mc:AlternateContent>
        <mc:AlternateContent xmlns:mc="http://schemas.openxmlformats.org/markup-compatibility/2006">
          <mc:Choice Requires="x14">
            <control shapeId="5136" r:id="rId7" name="Check Box 16">
              <controlPr defaultSize="0" autoFill="0" autoLine="0" autoPict="0">
                <anchor moveWithCells="1">
                  <from>
                    <xdr:col>23</xdr:col>
                    <xdr:colOff>68580</xdr:colOff>
                    <xdr:row>12</xdr:row>
                    <xdr:rowOff>53340</xdr:rowOff>
                  </from>
                  <to>
                    <xdr:col>25</xdr:col>
                    <xdr:colOff>220980</xdr:colOff>
                    <xdr:row>12</xdr:row>
                    <xdr:rowOff>320040</xdr:rowOff>
                  </to>
                </anchor>
              </controlPr>
            </control>
          </mc:Choice>
        </mc:AlternateContent>
        <mc:AlternateContent xmlns:mc="http://schemas.openxmlformats.org/markup-compatibility/2006">
          <mc:Choice Requires="x14">
            <control shapeId="5137" r:id="rId8" name="Check Box 17">
              <controlPr defaultSize="0" autoFill="0" autoLine="0" autoPict="0">
                <anchor moveWithCells="1">
                  <from>
                    <xdr:col>18</xdr:col>
                    <xdr:colOff>182880</xdr:colOff>
                    <xdr:row>9</xdr:row>
                    <xdr:rowOff>38100</xdr:rowOff>
                  </from>
                  <to>
                    <xdr:col>22</xdr:col>
                    <xdr:colOff>160020</xdr:colOff>
                    <xdr:row>9</xdr:row>
                    <xdr:rowOff>304800</xdr:rowOff>
                  </to>
                </anchor>
              </controlPr>
            </control>
          </mc:Choice>
        </mc:AlternateContent>
        <mc:AlternateContent xmlns:mc="http://schemas.openxmlformats.org/markup-compatibility/2006">
          <mc:Choice Requires="x14">
            <control shapeId="5138" r:id="rId9" name="Check Box 18">
              <controlPr defaultSize="0" autoFill="0" autoLine="0" autoPict="0">
                <anchor moveWithCells="1">
                  <from>
                    <xdr:col>23</xdr:col>
                    <xdr:colOff>60960</xdr:colOff>
                    <xdr:row>9</xdr:row>
                    <xdr:rowOff>38100</xdr:rowOff>
                  </from>
                  <to>
                    <xdr:col>25</xdr:col>
                    <xdr:colOff>213360</xdr:colOff>
                    <xdr:row>9</xdr:row>
                    <xdr:rowOff>320040</xdr:rowOff>
                  </to>
                </anchor>
              </controlPr>
            </control>
          </mc:Choice>
        </mc:AlternateContent>
        <mc:AlternateContent xmlns:mc="http://schemas.openxmlformats.org/markup-compatibility/2006">
          <mc:Choice Requires="x14">
            <control shapeId="5141" r:id="rId10" name="Check Box 21">
              <controlPr defaultSize="0" autoFill="0" autoLine="0" autoPict="0">
                <anchor moveWithCells="1">
                  <from>
                    <xdr:col>3</xdr:col>
                    <xdr:colOff>213360</xdr:colOff>
                    <xdr:row>14</xdr:row>
                    <xdr:rowOff>53340</xdr:rowOff>
                  </from>
                  <to>
                    <xdr:col>7</xdr:col>
                    <xdr:colOff>167640</xdr:colOff>
                    <xdr:row>14</xdr:row>
                    <xdr:rowOff>327660</xdr:rowOff>
                  </to>
                </anchor>
              </controlPr>
            </control>
          </mc:Choice>
        </mc:AlternateContent>
        <mc:AlternateContent xmlns:mc="http://schemas.openxmlformats.org/markup-compatibility/2006">
          <mc:Choice Requires="x14">
            <control shapeId="5142" r:id="rId11" name="Check Box 22">
              <controlPr defaultSize="0" autoFill="0" autoLine="0" autoPict="0">
                <anchor moveWithCells="1">
                  <from>
                    <xdr:col>7</xdr:col>
                    <xdr:colOff>7620</xdr:colOff>
                    <xdr:row>14</xdr:row>
                    <xdr:rowOff>53340</xdr:rowOff>
                  </from>
                  <to>
                    <xdr:col>11</xdr:col>
                    <xdr:colOff>30480</xdr:colOff>
                    <xdr:row>14</xdr:row>
                    <xdr:rowOff>327660</xdr:rowOff>
                  </to>
                </anchor>
              </controlPr>
            </control>
          </mc:Choice>
        </mc:AlternateContent>
        <mc:AlternateContent xmlns:mc="http://schemas.openxmlformats.org/markup-compatibility/2006">
          <mc:Choice Requires="x14">
            <control shapeId="5143" r:id="rId12" name="Check Box 23">
              <controlPr defaultSize="0" autoFill="0" autoLine="0" autoPict="0">
                <anchor moveWithCells="1">
                  <from>
                    <xdr:col>11</xdr:col>
                    <xdr:colOff>60960</xdr:colOff>
                    <xdr:row>16</xdr:row>
                    <xdr:rowOff>76200</xdr:rowOff>
                  </from>
                  <to>
                    <xdr:col>13</xdr:col>
                    <xdr:colOff>30480</xdr:colOff>
                    <xdr:row>16</xdr:row>
                    <xdr:rowOff>289560</xdr:rowOff>
                  </to>
                </anchor>
              </controlPr>
            </control>
          </mc:Choice>
        </mc:AlternateContent>
        <mc:AlternateContent xmlns:mc="http://schemas.openxmlformats.org/markup-compatibility/2006">
          <mc:Choice Requires="x14">
            <control shapeId="5144" r:id="rId13" name="Check Box 24">
              <controlPr defaultSize="0" autoFill="0" autoLine="0" autoPict="0">
                <anchor moveWithCells="1">
                  <from>
                    <xdr:col>15</xdr:col>
                    <xdr:colOff>106680</xdr:colOff>
                    <xdr:row>16</xdr:row>
                    <xdr:rowOff>76200</xdr:rowOff>
                  </from>
                  <to>
                    <xdr:col>17</xdr:col>
                    <xdr:colOff>76200</xdr:colOff>
                    <xdr:row>16</xdr:row>
                    <xdr:rowOff>289560</xdr:rowOff>
                  </to>
                </anchor>
              </controlPr>
            </control>
          </mc:Choice>
        </mc:AlternateContent>
        <mc:AlternateContent xmlns:mc="http://schemas.openxmlformats.org/markup-compatibility/2006">
          <mc:Choice Requires="x14">
            <control shapeId="5148" r:id="rId14" name="Spinner 28">
              <controlPr defaultSize="0" print="0" autoPict="0">
                <anchor moveWithCells="1" sizeWithCells="1">
                  <from>
                    <xdr:col>12</xdr:col>
                    <xdr:colOff>167640</xdr:colOff>
                    <xdr:row>18</xdr:row>
                    <xdr:rowOff>38100</xdr:rowOff>
                  </from>
                  <to>
                    <xdr:col>13</xdr:col>
                    <xdr:colOff>175260</xdr:colOff>
                    <xdr:row>18</xdr:row>
                    <xdr:rowOff>327660</xdr:rowOff>
                  </to>
                </anchor>
              </controlPr>
            </control>
          </mc:Choice>
        </mc:AlternateContent>
        <mc:AlternateContent xmlns:mc="http://schemas.openxmlformats.org/markup-compatibility/2006">
          <mc:Choice Requires="x14">
            <control shapeId="5149" r:id="rId15" name="Spinner 29">
              <controlPr defaultSize="0" print="0" autoPict="0">
                <anchor moveWithCells="1" sizeWithCells="1">
                  <from>
                    <xdr:col>17</xdr:col>
                    <xdr:colOff>60960</xdr:colOff>
                    <xdr:row>18</xdr:row>
                    <xdr:rowOff>38100</xdr:rowOff>
                  </from>
                  <to>
                    <xdr:col>17</xdr:col>
                    <xdr:colOff>251460</xdr:colOff>
                    <xdr:row>18</xdr:row>
                    <xdr:rowOff>327660</xdr:rowOff>
                  </to>
                </anchor>
              </controlPr>
            </control>
          </mc:Choice>
        </mc:AlternateContent>
        <mc:AlternateContent xmlns:mc="http://schemas.openxmlformats.org/markup-compatibility/2006">
          <mc:Choice Requires="x14">
            <control shapeId="5150" r:id="rId16" name="Check Box 30">
              <controlPr defaultSize="0" autoFill="0" autoLine="0" autoPict="0">
                <anchor moveWithCells="1">
                  <from>
                    <xdr:col>11</xdr:col>
                    <xdr:colOff>45720</xdr:colOff>
                    <xdr:row>17</xdr:row>
                    <xdr:rowOff>68580</xdr:rowOff>
                  </from>
                  <to>
                    <xdr:col>13</xdr:col>
                    <xdr:colOff>22860</xdr:colOff>
                    <xdr:row>17</xdr:row>
                    <xdr:rowOff>289560</xdr:rowOff>
                  </to>
                </anchor>
              </controlPr>
            </control>
          </mc:Choice>
        </mc:AlternateContent>
        <mc:AlternateContent xmlns:mc="http://schemas.openxmlformats.org/markup-compatibility/2006">
          <mc:Choice Requires="x14">
            <control shapeId="5151" r:id="rId17" name="Check Box 31">
              <controlPr defaultSize="0" autoFill="0" autoLine="0" autoPict="0">
                <anchor moveWithCells="1">
                  <from>
                    <xdr:col>15</xdr:col>
                    <xdr:colOff>99060</xdr:colOff>
                    <xdr:row>17</xdr:row>
                    <xdr:rowOff>68580</xdr:rowOff>
                  </from>
                  <to>
                    <xdr:col>17</xdr:col>
                    <xdr:colOff>60960</xdr:colOff>
                    <xdr:row>17</xdr:row>
                    <xdr:rowOff>289560</xdr:rowOff>
                  </to>
                </anchor>
              </controlPr>
            </control>
          </mc:Choice>
        </mc:AlternateContent>
        <mc:AlternateContent xmlns:mc="http://schemas.openxmlformats.org/markup-compatibility/2006">
          <mc:Choice Requires="x14">
            <control shapeId="5152" r:id="rId18" name="Check Box 32">
              <controlPr defaultSize="0" autoFill="0" autoLine="0" autoPict="0">
                <anchor moveWithCells="1">
                  <from>
                    <xdr:col>10</xdr:col>
                    <xdr:colOff>0</xdr:colOff>
                    <xdr:row>20</xdr:row>
                    <xdr:rowOff>30480</xdr:rowOff>
                  </from>
                  <to>
                    <xdr:col>14</xdr:col>
                    <xdr:colOff>175260</xdr:colOff>
                    <xdr:row>20</xdr:row>
                    <xdr:rowOff>304800</xdr:rowOff>
                  </to>
                </anchor>
              </controlPr>
            </control>
          </mc:Choice>
        </mc:AlternateContent>
        <mc:AlternateContent xmlns:mc="http://schemas.openxmlformats.org/markup-compatibility/2006">
          <mc:Choice Requires="x14">
            <control shapeId="5153" r:id="rId19" name="Check Box 33">
              <controlPr defaultSize="0" autoFill="0" autoLine="0" autoPict="0">
                <anchor moveWithCells="1">
                  <from>
                    <xdr:col>13</xdr:col>
                    <xdr:colOff>175260</xdr:colOff>
                    <xdr:row>20</xdr:row>
                    <xdr:rowOff>22860</xdr:rowOff>
                  </from>
                  <to>
                    <xdr:col>18</xdr:col>
                    <xdr:colOff>213360</xdr:colOff>
                    <xdr:row>20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4</vt:i4>
      </vt:variant>
    </vt:vector>
  </HeadingPairs>
  <TitlesOfParts>
    <vt:vector size="9" baseType="lpstr">
      <vt:lpstr>1.판매대행의뢰서</vt:lpstr>
      <vt:lpstr>2.티켓오픈공지문</vt:lpstr>
      <vt:lpstr>3.이미지 사이즈표</vt:lpstr>
      <vt:lpstr>4.등급 및 권종</vt:lpstr>
      <vt:lpstr>5.현장 지원 요청서</vt:lpstr>
      <vt:lpstr>'1.판매대행의뢰서'!Print_Area</vt:lpstr>
      <vt:lpstr>'2.티켓오픈공지문'!Print_Area</vt:lpstr>
      <vt:lpstr>'3.이미지 사이즈표'!Print_Area</vt:lpstr>
      <vt:lpstr>'5.현장 지원 요청서'!Print_Area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GS칼텍스 예울마루</dc:creator>
  <cp:lastModifiedBy>GS칼텍스 예울마루</cp:lastModifiedBy>
  <cp:lastPrinted>2017-07-07T11:12:39Z</cp:lastPrinted>
  <dcterms:created xsi:type="dcterms:W3CDTF">2014-11-07T01:50:00Z</dcterms:created>
  <dcterms:modified xsi:type="dcterms:W3CDTF">2026-07-03T08:02:54Z</dcterms:modified>
</cp:coreProperties>
</file>